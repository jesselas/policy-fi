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docProps/app.xml" ContentType="application/vnd.openxmlformats-officedocument.extended-properties+xml"/>
  <Override PartName="/docProps/core.xml" ContentType="application/vnd.openxmlformats-package.core-properties+xml"/>
  <Override PartName="/xl/ctrlProps/ctrlProp2.xml" ContentType="application/vnd.ms-excel.controlproperties+xml"/>
  <Override PartName="/xl/comments2.xml" ContentType="application/vnd.openxmlformats-officedocument.spreadsheetml.comments+xml"/>
  <Override PartName="/xl/ctrlProps/ctrlProp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620" yWindow="216" windowWidth="10152" windowHeight="12132"/>
  </bookViews>
  <sheets>
    <sheet name="START" sheetId="356" r:id="rId1"/>
    <sheet name="ctrl" sheetId="30" state="veryHidden" r:id="rId2"/>
    <sheet name="notes" sheetId="23" state="veryHidden" r:id="rId3"/>
    <sheet name="ppp" sheetId="353" state="veryHidden" r:id="rId4"/>
    <sheet name="tabs" sheetId="261" state="veryHidden" r:id="rId5"/>
  </sheets>
  <definedNames>
    <definedName name="_xlnm._FilterDatabase" localSheetId="3" hidden="1">ppp!$A$3:$O$33</definedName>
    <definedName name="eur">#REF!</definedName>
    <definedName name="ppp">#REF!</definedName>
  </definedNames>
  <calcPr calcId="145621"/>
</workbook>
</file>

<file path=xl/calcChain.xml><?xml version="1.0" encoding="utf-8"?>
<calcChain xmlns="http://schemas.openxmlformats.org/spreadsheetml/2006/main">
  <c r="E39" i="30" l="1"/>
  <c r="A21" i="261"/>
  <c r="A99" i="261"/>
</calcChain>
</file>

<file path=xl/comments1.xml><?xml version="1.0" encoding="utf-8"?>
<comments xmlns="http://schemas.openxmlformats.org/spreadsheetml/2006/main">
  <authors>
    <author>Alari Paulus</author>
  </authors>
  <commentList>
    <comment ref="C10" authorId="0">
      <text>
        <r>
          <rPr>
            <b/>
            <sz val="8"/>
            <color indexed="81"/>
            <rFont val="Tahoma"/>
            <family val="2"/>
          </rPr>
          <t>Used as the name for the result sheet.</t>
        </r>
        <r>
          <rPr>
            <sz val="8"/>
            <color indexed="81"/>
            <rFont val="Tahoma"/>
            <family val="2"/>
          </rPr>
          <t xml:space="preserve">
</t>
        </r>
      </text>
    </comment>
    <comment ref="D10" authorId="0">
      <text>
        <r>
          <rPr>
            <b/>
            <sz val="8"/>
            <color indexed="81"/>
            <rFont val="Tahoma"/>
            <family val="2"/>
          </rPr>
          <t>For PPP factors.</t>
        </r>
      </text>
    </comment>
    <comment ref="G10" authorId="0">
      <text>
        <r>
          <rPr>
            <b/>
            <sz val="8"/>
            <color indexed="81"/>
            <rFont val="Tahoma"/>
            <family val="2"/>
          </rPr>
          <t>The currency of the micro-data in the EUROMOD output file.</t>
        </r>
      </text>
    </comment>
    <comment ref="H10" authorId="0">
      <text>
        <r>
          <rPr>
            <b/>
            <sz val="8"/>
            <color indexed="81"/>
            <rFont val="Tahoma"/>
            <family val="2"/>
          </rPr>
          <t>Only applies to non euro-zone countries (concerns Table 2 &amp; 7).</t>
        </r>
      </text>
    </comment>
  </commentList>
</comments>
</file>

<file path=xl/comments2.xml><?xml version="1.0" encoding="utf-8"?>
<comments xmlns="http://schemas.openxmlformats.org/spreadsheetml/2006/main">
  <authors>
    <author>Alari Paulus</author>
  </authors>
  <commentList>
    <comment ref="C7" authorId="0">
      <text>
        <r>
          <rPr>
            <b/>
            <sz val="8"/>
            <color indexed="81"/>
            <rFont val="Tahoma"/>
            <family val="2"/>
          </rPr>
          <t>Since 2008.</t>
        </r>
      </text>
    </comment>
    <comment ref="C10" authorId="0">
      <text>
        <r>
          <rPr>
            <b/>
            <sz val="8"/>
            <color indexed="81"/>
            <rFont val="Tahoma"/>
            <family val="2"/>
          </rPr>
          <t>Since 2011.</t>
        </r>
      </text>
    </comment>
    <comment ref="C14" authorId="0">
      <text>
        <r>
          <rPr>
            <b/>
            <sz val="8"/>
            <color indexed="81"/>
            <rFont val="Tahoma"/>
            <family val="2"/>
          </rPr>
          <t>Since 2001</t>
        </r>
      </text>
    </comment>
    <comment ref="C21" authorId="0">
      <text>
        <r>
          <rPr>
            <b/>
            <sz val="8"/>
            <color indexed="81"/>
            <rFont val="Tahoma"/>
            <family val="2"/>
          </rPr>
          <t>Since 2008.</t>
        </r>
      </text>
    </comment>
    <comment ref="C26" authorId="0">
      <text>
        <r>
          <rPr>
            <b/>
            <sz val="8"/>
            <color indexed="81"/>
            <rFont val="Tahoma"/>
            <family val="2"/>
          </rPr>
          <t>Since 2009</t>
        </r>
      </text>
    </comment>
    <comment ref="C27" authorId="0">
      <text>
        <r>
          <rPr>
            <b/>
            <sz val="8"/>
            <color indexed="81"/>
            <rFont val="Tahoma"/>
            <family val="2"/>
          </rPr>
          <t>Since 2007</t>
        </r>
      </text>
    </comment>
  </commentList>
</comments>
</file>

<file path=xl/comments3.xml><?xml version="1.0" encoding="utf-8"?>
<comments xmlns="http://schemas.openxmlformats.org/spreadsheetml/2006/main">
  <authors>
    <author>Alari Paulus</author>
  </authors>
  <commentList>
    <comment ref="G1" authorId="0">
      <text>
        <r>
          <rPr>
            <b/>
            <sz val="8"/>
            <color indexed="81"/>
            <rFont val="Tahoma"/>
            <family val="2"/>
          </rPr>
          <t>Specifies country acronym.</t>
        </r>
      </text>
    </comment>
    <comment ref="H1" authorId="0">
      <text>
        <r>
          <rPr>
            <b/>
            <sz val="8"/>
            <color indexed="81"/>
            <rFont val="Tahoma"/>
            <family val="2"/>
          </rPr>
          <t>Number of households.</t>
        </r>
      </text>
    </comment>
    <comment ref="H2" authorId="0">
      <text>
        <r>
          <rPr>
            <b/>
            <sz val="8"/>
            <color indexed="81"/>
            <rFont val="Tahoma"/>
            <family val="2"/>
          </rPr>
          <t>Number of variables.</t>
        </r>
      </text>
    </comment>
    <comment ref="K21" authorId="0">
      <text>
        <r>
          <rPr>
            <b/>
            <sz val="8"/>
            <color indexed="81"/>
            <rFont val="Tahoma"/>
            <family val="2"/>
          </rPr>
          <t>Specifies exchange rate.</t>
        </r>
      </text>
    </comment>
    <comment ref="L21" authorId="0">
      <text>
        <r>
          <rPr>
            <b/>
            <sz val="8"/>
            <color indexed="81"/>
            <rFont val="Tahoma"/>
            <family val="2"/>
          </rPr>
          <t>Specifies applicable exchange rate.</t>
        </r>
      </text>
    </comment>
    <comment ref="L46" authorId="0">
      <text>
        <r>
          <rPr>
            <b/>
            <sz val="8"/>
            <color indexed="81"/>
            <rFont val="Tahoma"/>
            <family val="2"/>
          </rPr>
          <t>Specifies row for the PPP-table.</t>
        </r>
      </text>
    </comment>
    <comment ref="L47" authorId="0">
      <text>
        <r>
          <rPr>
            <b/>
            <sz val="8"/>
            <color indexed="81"/>
            <rFont val="Tahoma"/>
            <family val="2"/>
          </rPr>
          <t>Specifies year (from macro).</t>
        </r>
      </text>
    </comment>
    <comment ref="L49" authorId="0">
      <text>
        <r>
          <rPr>
            <b/>
            <sz val="8"/>
            <color indexed="81"/>
            <rFont val="Tahoma"/>
            <family val="2"/>
          </rPr>
          <t>Specifies if results (table 2 &amp; 7) are in euros (from macro).</t>
        </r>
      </text>
    </comment>
    <comment ref="L50" authorId="0">
      <text>
        <r>
          <rPr>
            <b/>
            <sz val="8"/>
            <color indexed="81"/>
            <rFont val="Tahoma"/>
            <family val="2"/>
          </rPr>
          <t>Specifies if data are in euros (from macro).</t>
        </r>
      </text>
    </comment>
    <comment ref="L51" authorId="0">
      <text>
        <r>
          <rPr>
            <b/>
            <sz val="8"/>
            <color indexed="81"/>
            <rFont val="Tahoma"/>
            <family val="2"/>
          </rPr>
          <t>Specifies if it is an eurozone country.</t>
        </r>
      </text>
    </comment>
    <comment ref="K52" authorId="0">
      <text>
        <r>
          <rPr>
            <b/>
            <sz val="8"/>
            <color indexed="81"/>
            <rFont val="Tahoma"/>
            <family val="2"/>
          </rPr>
          <t>Specifies PPP factor.</t>
        </r>
      </text>
    </comment>
    <comment ref="L52" authorId="0">
      <text>
        <r>
          <rPr>
            <b/>
            <sz val="8"/>
            <color indexed="81"/>
            <rFont val="Tahoma"/>
            <family val="2"/>
          </rPr>
          <t>Specifies the final adjustment factor.</t>
        </r>
      </text>
    </comment>
  </commentList>
</comments>
</file>

<file path=xl/connections.xml><?xml version="1.0" encoding="utf-8"?>
<connections xmlns="http://schemas.openxmlformats.org/spreadsheetml/2006/main">
  <connection id="1" name="201312171531_EMHeader" type="6" refreshedVersion="4" background="1">
    <textPr codePage="850" sourceFile="D:\work\EUROMOD\EuromodFiles_G1.1\Output\201312171531_EMHeader.txt">
      <textFields count="7">
        <textField/>
        <textField/>
        <textField/>
        <textField/>
        <textField/>
        <textField/>
        <textField/>
      </textFields>
    </textPr>
  </connection>
</connections>
</file>

<file path=xl/sharedStrings.xml><?xml version="1.0" encoding="utf-8"?>
<sst xmlns="http://schemas.openxmlformats.org/spreadsheetml/2006/main" count="699" uniqueCount="650">
  <si>
    <t>EUROMOD relies on micro-data from 17 different sources for 19 countries. These are the European Community Household Panel (ECHP) User Data Base and the EU Statistics in Incomes and Living Conditions (SILC) made available by Eurostat; the Austrian version of the ECHP made available by the Interdisciplinary Centre for Comparative Research in the Social Sciences; the Panel Survey on Belgian Households (PSBH) made available by the University of Liège and the University of Antwerp; the Estonian Household Budget Survey (HBS) made available by Statistics Estonia; the Income Distribution Survey made available by Statistics Finland; the Enquête sur les Budgets Familiaux (EBF) made available by INSEE; the public use version of the German Socio Economic Panel Study (GSOEP) made available by the German Institute for Economic Research (DIW), Berlin; the Greek Household Budget Survey (HBS) made available by the National Statistical Service of Greece; the Living in Ireland Survey made available by the Economic and Social Research Institute;</t>
  </si>
  <si>
    <t>the Survey of Household Income and Wealth (SHIW95) made available by the Bank of Italy; the Socio-Economic Panel for Luxembourg (PSELL-2) made available by CEPS/INSTEAD; the Socio-Economic Panel Survey (SEP) made available by Statistics Netherlands through the mediation of the Netherlands Organisation for Scientific Research - Scientific Statistical Agency; the Polish Household Budget Survey (HBS) made available by the Economic Department of Warsaw University; the Slovenian Household Budget Survey (HBS) and Personal Income Tax database made available by the Statistical Office of Slovenia; the Income Distribution Survey made available by Statistics Sweden; and the Family Expenditure Survey (FES), made available by the UK Office for National Statistics (ONS) through the Data Archive. Material from the FES is Crown Copyright and is used by permission. Neither the ONS nor the Data Archive bear any responsibility for the analysis or interpretation of the data reported here. An equivalent disclaimer applies for all other data sources and their respective providers cited in this acknowledgement.</t>
  </si>
  <si>
    <t>codct</t>
  </si>
  <si>
    <t>_=IF(ISNA(K52),1,K52)</t>
  </si>
  <si>
    <t>_=IF(AND(L49=1,L50=0),IF(ISNA(K21),1,K21),1)/IF(AND(L49=0,L50=1),IF(ISNA(K21),1,K21),1)</t>
  </si>
  <si>
    <t>_=SUMIF(OFFSET(HH!$A$3,0,$A$24-1,$H$1),$A25,OFFSET(HH!$A$3,0,D$24-1,$H$1))/$C25/$L$21</t>
  </si>
  <si>
    <t>_=SUMIF(OFFSET(HH!$A$3,0,$A$24-1,$H$1),$A25,OFFSET(HH!$A$3,0,E$24-1,$H$1))/$C25/$L$21</t>
  </si>
  <si>
    <t>_=SUMIF(OFFSET(HH!$A$3,0,$A$24-1,$H$1),$A25,OFFSET(HH!$A$3,0,F$24-1,$H$1))/$C25/$L$21</t>
  </si>
  <si>
    <t>_=SUMIF(OFFSET(HH!$A$3,0,$A$24-1,$H$1),$A25,OFFSET(HH!$A$3,0,G$24-1,$H$1))/$C25/$L$21</t>
  </si>
  <si>
    <t>_=SUMIF(OFFSET(HH!$A$3,0,$A$24-1,$H$1),$A25,OFFSET(HH!$A$3,0,H$24-1,$H$1))/$C25/$L$21</t>
  </si>
  <si>
    <t>_=SUMIF(OFFSET(HH!$A$3,0,$A$24-1,$H$1),$A25,OFFSET(HH!$A$3,0,I$24-1,$H$1))/$C25/$L$21</t>
  </si>
  <si>
    <t>_=SUMIF(OFFSET(HH!$A$3,0,$A$24-1,$H$1),$A25,OFFSET(HH!$A$3,0,J$24-1,$H$1))/$C25/G25/$L$21</t>
  </si>
  <si>
    <t>_=SUMIF(OFFSET(HH!$A$3,0,$A$24-1,$H$1),$A25,OFFSET(HH!$A$3,0,K$24-1,$H$1))/$C25/H25/$L$21</t>
  </si>
  <si>
    <t>_=SUMIF(OFFSET(HH!$A$3,0,$A$24-1,$H$1),$A26,OFFSET(HH!$A$3,0,D$24-1,$H$1))/$C26/$L$21</t>
  </si>
  <si>
    <t>_=SUMIF(OFFSET(HH!$A$3,0,$A$24-1,$H$1),$A26,OFFSET(HH!$A$3,0,E$24-1,$H$1))/$C26/$L$21</t>
  </si>
  <si>
    <t>_=SUMIF(OFFSET(HH!$A$3,0,$A$24-1,$H$1),$A26,OFFSET(HH!$A$3,0,F$24-1,$H$1))/$C26/$L$21</t>
  </si>
  <si>
    <t>_=SUMIF(OFFSET(HH!$A$3,0,$A$24-1,$H$1),$A26,OFFSET(HH!$A$3,0,G$24-1,$H$1))/$C26/$L$21</t>
  </si>
  <si>
    <t>_=SUMIF(OFFSET(HH!$A$3,0,$A$24-1,$H$1),$A26,OFFSET(HH!$A$3,0,H$24-1,$H$1))/$C26/$L$21</t>
  </si>
  <si>
    <t>_=SUMIF(OFFSET(HH!$A$3,0,$A$24-1,$H$1),$A26,OFFSET(HH!$A$3,0,I$24-1,$H$1))/$C26/$L$21</t>
  </si>
  <si>
    <t>_=SUMIF(OFFSET(HH!$A$3,0,$A$24-1,$H$1),$A26,OFFSET(HH!$A$3,0,J$24-1,$H$1))/$C26/G26/$L$21</t>
  </si>
  <si>
    <t>_=SUMIF(OFFSET(HH!$A$3,0,$A$24-1,$H$1),$A26,OFFSET(HH!$A$3,0,K$24-1,$H$1))/$C26/H26/$L$21</t>
  </si>
  <si>
    <t>_=SUMIF(OFFSET(HH!$A$3,0,$A$24-1,$H$1),$A27,OFFSET(HH!$A$3,0,D$24-1,$H$1))/$C27/$L$21</t>
  </si>
  <si>
    <t>_=SUMIF(OFFSET(HH!$A$3,0,$A$24-1,$H$1),$A27,OFFSET(HH!$A$3,0,E$24-1,$H$1))/$C27/$L$21</t>
  </si>
  <si>
    <t>_=SUMIF(OFFSET(HH!$A$3,0,$A$24-1,$H$1),$A27,OFFSET(HH!$A$3,0,F$24-1,$H$1))/$C27/$L$21</t>
  </si>
  <si>
    <t>_=SUMIF(OFFSET(HH!$A$3,0,$A$24-1,$H$1),$A27,OFFSET(HH!$A$3,0,G$24-1,$H$1))/$C27/$L$21</t>
  </si>
  <si>
    <t>_=SUMIF(OFFSET(HH!$A$3,0,$A$24-1,$H$1),$A27,OFFSET(HH!$A$3,0,H$24-1,$H$1))/$C27/$L$21</t>
  </si>
  <si>
    <t>_=SUMIF(OFFSET(HH!$A$3,0,$A$24-1,$H$1),$A27,OFFSET(HH!$A$3,0,I$24-1,$H$1))/$C27/$L$21</t>
  </si>
  <si>
    <t>_=SUMIF(OFFSET(HH!$A$3,0,$A$24-1,$H$1),$A27,OFFSET(HH!$A$3,0,J$24-1,$H$1))/$C27/G27/$L$21</t>
  </si>
  <si>
    <t>_=SUMIF(OFFSET(HH!$A$3,0,$A$24-1,$H$1),$A27,OFFSET(HH!$A$3,0,K$24-1,$H$1))/$C27/H27/$L$21</t>
  </si>
  <si>
    <t>_=SUMIF(OFFSET(HH!$A$3,0,$A$24-1,$H$1),$A28,OFFSET(HH!$A$3,0,D$24-1,$H$1))/$C28/$L$21</t>
  </si>
  <si>
    <t>_=SUMIF(OFFSET(HH!$A$3,0,$A$24-1,$H$1),$A28,OFFSET(HH!$A$3,0,E$24-1,$H$1))/$C28/$L$21</t>
  </si>
  <si>
    <t>_=SUMIF(OFFSET(HH!$A$3,0,$A$24-1,$H$1),$A28,OFFSET(HH!$A$3,0,F$24-1,$H$1))/$C28/$L$21</t>
  </si>
  <si>
    <t>_=SUMIF(OFFSET(HH!$A$3,0,$A$24-1,$H$1),$A28,OFFSET(HH!$A$3,0,G$24-1,$H$1))/$C28/$L$21</t>
  </si>
  <si>
    <t>_=SUMIF(OFFSET(HH!$A$3,0,$A$24-1,$H$1),$A28,OFFSET(HH!$A$3,0,H$24-1,$H$1))/$C28/$L$21</t>
  </si>
  <si>
    <t>_=SUMIF(OFFSET(HH!$A$3,0,$A$24-1,$H$1),$A28,OFFSET(HH!$A$3,0,I$24-1,$H$1))/$C28/$L$21</t>
  </si>
  <si>
    <t>_=SUMIF(OFFSET(HH!$A$3,0,$A$24-1,$H$1),$A28,OFFSET(HH!$A$3,0,J$24-1,$H$1))/$C28/G28/$L$21</t>
  </si>
  <si>
    <t>_=SUMIF(OFFSET(HH!$A$3,0,$A$24-1,$H$1),$A28,OFFSET(HH!$A$3,0,K$24-1,$H$1))/$C28/H28/$L$21</t>
  </si>
  <si>
    <t>_=SUMIF(OFFSET(HH!$A$3,0,$A$24-1,$H$1),$A29,OFFSET(HH!$A$3,0,D$24-1,$H$1))/$C29/$L$21</t>
  </si>
  <si>
    <t>_=SUMIF(OFFSET(HH!$A$3,0,$A$24-1,$H$1),$A29,OFFSET(HH!$A$3,0,E$24-1,$H$1))/$C29/$L$21</t>
  </si>
  <si>
    <t>_=SUMIF(OFFSET(HH!$A$3,0,$A$24-1,$H$1),$A29,OFFSET(HH!$A$3,0,F$24-1,$H$1))/$C29/$L$21</t>
  </si>
  <si>
    <t>_=SUMIF(OFFSET(HH!$A$3,0,$A$24-1,$H$1),$A29,OFFSET(HH!$A$3,0,G$24-1,$H$1))/$C29/$L$21</t>
  </si>
  <si>
    <t>_=SUMIF(OFFSET(HH!$A$3,0,$A$24-1,$H$1),$A29,OFFSET(HH!$A$3,0,H$24-1,$H$1))/$C29/$L$21</t>
  </si>
  <si>
    <t>_=SUMIF(OFFSET(HH!$A$3,0,$A$24-1,$H$1),$A29,OFFSET(HH!$A$3,0,I$24-1,$H$1))/$C29/$L$21</t>
  </si>
  <si>
    <t>_=SUMIF(OFFSET(HH!$A$3,0,$A$24-1,$H$1),$A29,OFFSET(HH!$A$3,0,J$24-1,$H$1))/$C29/G29/$L$21</t>
  </si>
  <si>
    <t>_=SUMIF(OFFSET(HH!$A$3,0,$A$24-1,$H$1),$A29,OFFSET(HH!$A$3,0,K$24-1,$H$1))/$C29/H29/$L$21</t>
  </si>
  <si>
    <t>_=SUMIF(OFFSET(HH!$A$3,0,$A$24-1,$H$1),$A30,OFFSET(HH!$A$3,0,D$24-1,$H$1))/$C30/$L$21</t>
  </si>
  <si>
    <t>_=SUMIF(OFFSET(HH!$A$3,0,$A$24-1,$H$1),$A30,OFFSET(HH!$A$3,0,E$24-1,$H$1))/$C30/$L$21</t>
  </si>
  <si>
    <t>_=SUMIF(OFFSET(HH!$A$3,0,$A$24-1,$H$1),$A30,OFFSET(HH!$A$3,0,F$24-1,$H$1))/$C30/$L$21</t>
  </si>
  <si>
    <t>_=SUMIF(OFFSET(HH!$A$3,0,$A$24-1,$H$1),$A30,OFFSET(HH!$A$3,0,G$24-1,$H$1))/$C30/$L$21</t>
  </si>
  <si>
    <t>_=SUMIF(OFFSET(HH!$A$3,0,$A$24-1,$H$1),$A30,OFFSET(HH!$A$3,0,H$24-1,$H$1))/$C30/$L$21</t>
  </si>
  <si>
    <t>_=SUMIF(OFFSET(HH!$A$3,0,$A$24-1,$H$1),$A30,OFFSET(HH!$A$3,0,I$24-1,$H$1))/$C30/$L$21</t>
  </si>
  <si>
    <t>_=SUMIF(OFFSET(HH!$A$3,0,$A$24-1,$H$1),$A30,OFFSET(HH!$A$3,0,J$24-1,$H$1))/$C30/G30/$L$21</t>
  </si>
  <si>
    <t>_=SUMIF(OFFSET(HH!$A$3,0,$A$24-1,$H$1),$A30,OFFSET(HH!$A$3,0,K$24-1,$H$1))/$C30/H30/$L$21</t>
  </si>
  <si>
    <t>_=SUMIF(OFFSET(HH!$A$3,0,$A$24-1,$H$1),$A31,OFFSET(HH!$A$3,0,D$24-1,$H$1))/$C31/$L$21</t>
  </si>
  <si>
    <t>_=SUMIF(OFFSET(HH!$A$3,0,$A$24-1,$H$1),$A31,OFFSET(HH!$A$3,0,E$24-1,$H$1))/$C31/$L$21</t>
  </si>
  <si>
    <t>_=SUMIF(OFFSET(HH!$A$3,0,$A$24-1,$H$1),$A31,OFFSET(HH!$A$3,0,F$24-1,$H$1))/$C31/$L$21</t>
  </si>
  <si>
    <t>_=SUMIF(OFFSET(HH!$A$3,0,$A$24-1,$H$1),$A31,OFFSET(HH!$A$3,0,G$24-1,$H$1))/$C31/$L$21</t>
  </si>
  <si>
    <t>_=SUMIF(OFFSET(HH!$A$3,0,$A$24-1,$H$1),$A31,OFFSET(HH!$A$3,0,H$24-1,$H$1))/$C31/$L$21</t>
  </si>
  <si>
    <t>_=SUMIF(OFFSET(HH!$A$3,0,$A$24-1,$H$1),$A31,OFFSET(HH!$A$3,0,I$24-1,$H$1))/$C31/$L$21</t>
  </si>
  <si>
    <t>_=SUMIF(OFFSET(HH!$A$3,0,$A$24-1,$H$1),$A31,OFFSET(HH!$A$3,0,J$24-1,$H$1))/$C31/G31/$L$21</t>
  </si>
  <si>
    <t>_=SUMIF(OFFSET(HH!$A$3,0,$A$24-1,$H$1),$A31,OFFSET(HH!$A$3,0,K$24-1,$H$1))/$C31/H31/$L$21</t>
  </si>
  <si>
    <t>_=SUMIF(OFFSET(HH!$A$3,0,$A$24-1,$H$1),$A32,OFFSET(HH!$A$3,0,D$24-1,$H$1))/$C32/$L$21</t>
  </si>
  <si>
    <t>_=SUMIF(OFFSET(HH!$A$3,0,$A$24-1,$H$1),$A32,OFFSET(HH!$A$3,0,E$24-1,$H$1))/$C32/$L$21</t>
  </si>
  <si>
    <t>_=SUMIF(OFFSET(HH!$A$3,0,$A$24-1,$H$1),$A32,OFFSET(HH!$A$3,0,F$24-1,$H$1))/$C32/$L$21</t>
  </si>
  <si>
    <t>_=SUMIF(OFFSET(HH!$A$3,0,$A$24-1,$H$1),$A32,OFFSET(HH!$A$3,0,G$24-1,$H$1))/$C32/$L$21</t>
  </si>
  <si>
    <t>_=SUMIF(OFFSET(HH!$A$3,0,$A$24-1,$H$1),$A32,OFFSET(HH!$A$3,0,H$24-1,$H$1))/$C32/$L$21</t>
  </si>
  <si>
    <t>_=SUMIF(OFFSET(HH!$A$3,0,$A$24-1,$H$1),$A32,OFFSET(HH!$A$3,0,I$24-1,$H$1))/$C32/$L$21</t>
  </si>
  <si>
    <t>_=SUMIF(OFFSET(HH!$A$3,0,$A$24-1,$H$1),$A32,OFFSET(HH!$A$3,0,J$24-1,$H$1))/$C32/G32/$L$21</t>
  </si>
  <si>
    <t>_=SUMIF(OFFSET(HH!$A$3,0,$A$24-1,$H$1),$A32,OFFSET(HH!$A$3,0,K$24-1,$H$1))/$C32/H32/$L$21</t>
  </si>
  <si>
    <t>_=SUMIF(OFFSET(HH!$A$3,0,$A$24-1,$H$1),$A33,OFFSET(HH!$A$3,0,D$24-1,$H$1))/$C33/$L$21</t>
  </si>
  <si>
    <t>_=SUMIF(OFFSET(HH!$A$3,0,$A$24-1,$H$1),$A33,OFFSET(HH!$A$3,0,E$24-1,$H$1))/$C33/$L$21</t>
  </si>
  <si>
    <t>_=SUMIF(OFFSET(HH!$A$3,0,$A$24-1,$H$1),$A33,OFFSET(HH!$A$3,0,F$24-1,$H$1))/$C33/$L$21</t>
  </si>
  <si>
    <t>_=SUMIF(OFFSET(HH!$A$3,0,$A$24-1,$H$1),$A33,OFFSET(HH!$A$3,0,G$24-1,$H$1))/$C33/$L$21</t>
  </si>
  <si>
    <t>_=SUMIF(OFFSET(HH!$A$3,0,$A$24-1,$H$1),$A33,OFFSET(HH!$A$3,0,H$24-1,$H$1))/$C33/$L$21</t>
  </si>
  <si>
    <t>_=SUMIF(OFFSET(HH!$A$3,0,$A$24-1,$H$1),$A33,OFFSET(HH!$A$3,0,I$24-1,$H$1))/$C33/$L$21</t>
  </si>
  <si>
    <t>_=SUMIF(OFFSET(HH!$A$3,0,$A$24-1,$H$1),$A33,OFFSET(HH!$A$3,0,J$24-1,$H$1))/$C33/G33/$L$21</t>
  </si>
  <si>
    <t>_=SUMIF(OFFSET(HH!$A$3,0,$A$24-1,$H$1),$A33,OFFSET(HH!$A$3,0,K$24-1,$H$1))/$C33/H33/$L$21</t>
  </si>
  <si>
    <t>_=SUMIF(OFFSET(HH!$A$3,0,$A$24-1,$H$1),$A34,OFFSET(HH!$A$3,0,D$24-1,$H$1))/$C34/$L$21</t>
  </si>
  <si>
    <t>_=SUMIF(OFFSET(HH!$A$3,0,$A$24-1,$H$1),$A34,OFFSET(HH!$A$3,0,E$24-1,$H$1))/$C34/$L$21</t>
  </si>
  <si>
    <t>_=SUMIF(OFFSET(HH!$A$3,0,$A$24-1,$H$1),$A34,OFFSET(HH!$A$3,0,F$24-1,$H$1))/$C34/$L$21</t>
  </si>
  <si>
    <t>_=SUMIF(OFFSET(HH!$A$3,0,$A$24-1,$H$1),$A34,OFFSET(HH!$A$3,0,G$24-1,$H$1))/$C34/$L$21</t>
  </si>
  <si>
    <t>_=SUMIF(OFFSET(HH!$A$3,0,$A$24-1,$H$1),$A34,OFFSET(HH!$A$3,0,H$24-1,$H$1))/$C34/$L$21</t>
  </si>
  <si>
    <t>_=SUMIF(OFFSET(HH!$A$3,0,$A$24-1,$H$1),$A34,OFFSET(HH!$A$3,0,I$24-1,$H$1))/$C34/$L$21</t>
  </si>
  <si>
    <t>_=SUMIF(OFFSET(HH!$A$3,0,$A$24-1,$H$1),$A34,OFFSET(HH!$A$3,0,J$24-1,$H$1))/$C34/G34/$L$21</t>
  </si>
  <si>
    <t>_=SUMIF(OFFSET(HH!$A$3,0,$A$24-1,$H$1),$A34,OFFSET(HH!$A$3,0,K$24-1,$H$1))/$C34/H34/$L$21</t>
  </si>
  <si>
    <t>_=SUM(OFFSET(HH!$A$3,0,D$24-1,$H$1))/$C35/$L$21</t>
  </si>
  <si>
    <t>_=SUM(OFFSET(HH!$A$3,0,E$24-1,$H$1))/$C35/$L$21</t>
  </si>
  <si>
    <t>_=SUM(OFFSET(HH!$A$3,0,F$24-1,$H$1))/$C35/$L$21</t>
  </si>
  <si>
    <t>_=SUM(OFFSET(HH!$A$3,0,G$24-1,$H$1))/$C35/$L$21</t>
  </si>
  <si>
    <t>_=SUM(OFFSET(HH!$A$3,0,H$24-1,$H$1))/$C35/$L$21</t>
  </si>
  <si>
    <t>_=SUM(OFFSET(HH!$A$3,0,I$24-1,$H$1))/$C35/$L$21</t>
  </si>
  <si>
    <t>_=SUM(OFFSET(HH!$A$3,0,J$24-1,$H$1))/$C35/G35/$L$21</t>
  </si>
  <si>
    <t>_=SUM(OFFSET(HH!$A$3,0,K$24-1,$H$1))/$C35/H35/$L$21</t>
  </si>
  <si>
    <t>_=SUMIF(OFFSET(HH!$A$3,0,$B$24-1,$H$1),$B$36,OFFSET(HH!$A$3,0,D$24-1,$H$1))/$C36/$L$21</t>
  </si>
  <si>
    <t>_=SUMIF(OFFSET(HH!$A$3,0,$B$24-1,$H$1),$B$36,OFFSET(HH!$A$3,0,E$24-1,$H$1))/$C36/$L$21</t>
  </si>
  <si>
    <t>_=SUMIF(OFFSET(HH!$A$3,0,$B$24-1,$H$1),$B$36,OFFSET(HH!$A$3,0,F$24-1,$H$1))/$C36/$L$21</t>
  </si>
  <si>
    <t>_=SUMIF(OFFSET(HH!$A$3,0,$B$24-1,$H$1),$B$36,OFFSET(HH!$A$3,0,G$24-1,$H$1))/$C36/$L$21</t>
  </si>
  <si>
    <t>_=SUMIF(OFFSET(HH!$A$3,0,$B$24-1,$H$1),$B$36,OFFSET(HH!$A$3,0,H$24-1,$H$1))/$C36/$L$21</t>
  </si>
  <si>
    <t>_=SUMIF(OFFSET(HH!$A$3,0,$B$24-1,$H$1),$B$36,OFFSET(HH!$A$3,0,I$24-1,$H$1))/$C36/$L$21</t>
  </si>
  <si>
    <t>_=IF($C36&gt;0,SUMIF(OFFSET(HH!$A$3,0,$B$24-1,$H$1),$B$36,OFFSET(HH!$A$3,0,J$24-1,$H$1))/$C36/G36,0)/$L$21</t>
  </si>
  <si>
    <t>_=IF($C36&gt;0,SUMIF(OFFSET(HH!$A$3,0,$B$24-1,$H$1),$B$36,OFFSET(HH!$A$3,0,K$24-1,$H$1))/$C36/H36,0)/$L$21</t>
  </si>
  <si>
    <t>_=SUMIF(OFFSET(HH!$A$3,0,$B$101-1,$H$1),A102,OFFSET(HH!$A$3,0,C$111-1,$H$1))/$L$21</t>
  </si>
  <si>
    <t>_=SUMIF(OFFSET(HH!$A$3,0,$B$101-1,$H$1),A103,OFFSET(HH!$A$3,0,C$111-1,$H$1))/$L$21</t>
  </si>
  <si>
    <t>_=SUMIF(OFFSET(HH!$A$3,0,$B$101-1,$H$1),A104,OFFSET(HH!$A$3,0,C$111-1,$H$1))/$L$21</t>
  </si>
  <si>
    <t>_=SUMIF(OFFSET(HH!$A$3,0,$B$101-1,$H$1),A105,OFFSET(HH!$A$3,0,C$111-1,$H$1))/$L$21</t>
  </si>
  <si>
    <t>_=SUMIF(OFFSET(HH!$A$3,0,$B$101-1,$H$1),A106,OFFSET(HH!$A$3,0,C$111-1,$H$1))/$L$21</t>
  </si>
  <si>
    <t>_=SUMIF(OFFSET(HH!$A$3,0,$B$101-1,$H$1),A107,OFFSET(HH!$A$3,0,C$111-1,$H$1))/$L$21</t>
  </si>
  <si>
    <t>_=SUMIF(OFFSET(HH!$A$3,0,$B$101-1,$H$1),A108,OFFSET(HH!$A$3,0,C$111-1,$H$1))/$L$21</t>
  </si>
  <si>
    <t>_=SUMIF(OFFSET(HH!$A$3,0,$B$101-1,$H$1),A109,OFFSET(HH!$A$3,0,C$111-1,$H$1))/$L$21</t>
  </si>
  <si>
    <t>_=SUMIF(OFFSET(HH!$A$3,0,$B$101-1,$H$1),A110,OFFSET(HH!$A$3,0,C$111-1,$H$1))/$L$21</t>
  </si>
  <si>
    <t>_=OFFSET(HH!$A$1,0,C111-1)/$L$21</t>
  </si>
  <si>
    <t>_=HLOOKUP(L47,ppp!3:32,L46,FALSE)/L21*IF(AND(L50=0,L51=1),IF(ISNA(K21),1,K21),1)/IF(AND(L50=1,L51=0),IF(ISNA(K21),1,K21),1)</t>
  </si>
  <si>
    <t>_=D25/$L$52</t>
  </si>
  <si>
    <t>_=E25/$L$52</t>
  </si>
  <si>
    <t>_=F25/$L$52</t>
  </si>
  <si>
    <t>_=G25/$L$52</t>
  </si>
  <si>
    <t>_=H25/$L$52</t>
  </si>
  <si>
    <t>_=I25/$L$52</t>
  </si>
  <si>
    <t>_=D26/$L$52</t>
  </si>
  <si>
    <t>_=E26/$L$52</t>
  </si>
  <si>
    <t>_=F26/$L$52</t>
  </si>
  <si>
    <t>_=G26/$L$52</t>
  </si>
  <si>
    <t>_=H26/$L$52</t>
  </si>
  <si>
    <t>_=I26/$L$52</t>
  </si>
  <si>
    <t>_=D27/$L$52</t>
  </si>
  <si>
    <t>_=E27/$L$52</t>
  </si>
  <si>
    <t>_=F27/$L$52</t>
  </si>
  <si>
    <t>_=G27/$L$52</t>
  </si>
  <si>
    <t>_=H27/$L$52</t>
  </si>
  <si>
    <t>_=I27/$L$52</t>
  </si>
  <si>
    <t>_=D28/$L$52</t>
  </si>
  <si>
    <t>_=E28/$L$52</t>
  </si>
  <si>
    <t>_=F28/$L$52</t>
  </si>
  <si>
    <t>_=G28/$L$52</t>
  </si>
  <si>
    <t>_=H28/$L$52</t>
  </si>
  <si>
    <t>_=I28/$L$52</t>
  </si>
  <si>
    <t>_=D29/$L$52</t>
  </si>
  <si>
    <t>_=E29/$L$52</t>
  </si>
  <si>
    <t>_=F29/$L$52</t>
  </si>
  <si>
    <t>_=G29/$L$52</t>
  </si>
  <si>
    <t>_=H29/$L$52</t>
  </si>
  <si>
    <t>_=I29/$L$52</t>
  </si>
  <si>
    <t>_=D30/$L$52</t>
  </si>
  <si>
    <t>_=E30/$L$52</t>
  </si>
  <si>
    <t>_=F30/$L$52</t>
  </si>
  <si>
    <t>_=G30/$L$52</t>
  </si>
  <si>
    <t>_=H30/$L$52</t>
  </si>
  <si>
    <t>_=I30/$L$52</t>
  </si>
  <si>
    <t>_=D31/$L$52</t>
  </si>
  <si>
    <t>_=E31/$L$52</t>
  </si>
  <si>
    <t>_=F31/$L$52</t>
  </si>
  <si>
    <t>_=G31/$L$52</t>
  </si>
  <si>
    <t>_=H31/$L$52</t>
  </si>
  <si>
    <t>_=I31/$L$52</t>
  </si>
  <si>
    <t>_=D32/$L$52</t>
  </si>
  <si>
    <t>_=E32/$L$52</t>
  </si>
  <si>
    <t>_=F32/$L$52</t>
  </si>
  <si>
    <t>_=G32/$L$52</t>
  </si>
  <si>
    <t>_=H32/$L$52</t>
  </si>
  <si>
    <t>_=I32/$L$52</t>
  </si>
  <si>
    <t>_=D33/$L$52</t>
  </si>
  <si>
    <t>_=E33/$L$52</t>
  </si>
  <si>
    <t>_=F33/$L$52</t>
  </si>
  <si>
    <t>_=G33/$L$52</t>
  </si>
  <si>
    <t>_=H33/$L$52</t>
  </si>
  <si>
    <t>_=I33/$L$52</t>
  </si>
  <si>
    <t>_=D34/$L$52</t>
  </si>
  <si>
    <t>_=E34/$L$52</t>
  </si>
  <si>
    <t>_=F34/$L$52</t>
  </si>
  <si>
    <t>_=G34/$L$52</t>
  </si>
  <si>
    <t>_=H34/$L$52</t>
  </si>
  <si>
    <t>_=I34/$L$52</t>
  </si>
  <si>
    <t>_=D35/$L$52</t>
  </si>
  <si>
    <t>_=E35/$L$52</t>
  </si>
  <si>
    <t>_=F35/$L$52</t>
  </si>
  <si>
    <t>_=G35/$L$52</t>
  </si>
  <si>
    <t>_=H35/$L$52</t>
  </si>
  <si>
    <t>_=I35/$L$52</t>
  </si>
  <si>
    <t>_=D36/$L$52</t>
  </si>
  <si>
    <t>_=E36/$L$52</t>
  </si>
  <si>
    <t>_=F36/$L$52</t>
  </si>
  <si>
    <t>_=G36/$L$52</t>
  </si>
  <si>
    <t>_=H36/$L$52</t>
  </si>
  <si>
    <t>_=I36/$L$52</t>
  </si>
  <si>
    <t>UNITED STATES</t>
  </si>
  <si>
    <t>ezone</t>
  </si>
  <si>
    <t>_=HLOOKUP("ezone",ppp!3:32,L46,FALSE)</t>
  </si>
  <si>
    <t>exr_2006</t>
  </si>
  <si>
    <t>ESTONIA</t>
  </si>
  <si>
    <t>HUNGARY</t>
  </si>
  <si>
    <t>POLAND</t>
  </si>
  <si>
    <t>SLOVENIA</t>
  </si>
  <si>
    <t>exr_2005</t>
  </si>
  <si>
    <t>Y</t>
  </si>
  <si>
    <t>Npers_wt</t>
  </si>
  <si>
    <t>Nch_wt</t>
  </si>
  <si>
    <t>Nwkage_wt</t>
  </si>
  <si>
    <t>Neld_wt</t>
  </si>
  <si>
    <t>Nact_wt</t>
  </si>
  <si>
    <t>Nact_wtpct</t>
  </si>
  <si>
    <t>weight</t>
  </si>
  <si>
    <t>earns_wt</t>
  </si>
  <si>
    <t>sics_wt</t>
  </si>
  <si>
    <t>Inequality</t>
  </si>
  <si>
    <r>
      <t xml:space="preserve">Table 1 </t>
    </r>
    <r>
      <rPr>
        <sz val="10"/>
        <rFont val="Arial"/>
        <family val="2"/>
      </rPr>
      <t xml:space="preserve">shows the percentage of people below the poverty line (headcount ratio) for the overall population and for selected groups. It also presents the Gini coefficient for equivalent original and disposable income. All indices are computed using equivalised income (using the modified OECD-equivalence-scale) and weighted by household size. The poverty line is calculated as 60 percent of median equivalent household disposable income for the whole population.
</t>
    </r>
  </si>
  <si>
    <t>exr_1998</t>
  </si>
  <si>
    <t>_=J25</t>
  </si>
  <si>
    <t>_=K25</t>
  </si>
  <si>
    <t>_=J26</t>
  </si>
  <si>
    <t>_=K26</t>
  </si>
  <si>
    <t>_=J27</t>
  </si>
  <si>
    <t>_=K27</t>
  </si>
  <si>
    <t>_=J28</t>
  </si>
  <si>
    <t>_=K28</t>
  </si>
  <si>
    <t>_=J29</t>
  </si>
  <si>
    <t>_=K29</t>
  </si>
  <si>
    <t>_=J30</t>
  </si>
  <si>
    <t>_=K30</t>
  </si>
  <si>
    <t>_=J31</t>
  </si>
  <si>
    <t>_=K31</t>
  </si>
  <si>
    <t>_=J32</t>
  </si>
  <si>
    <t>_=K32</t>
  </si>
  <si>
    <t>_=J33</t>
  </si>
  <si>
    <t>_=K33</t>
  </si>
  <si>
    <t>_=J34</t>
  </si>
  <si>
    <t>_=K34</t>
  </si>
  <si>
    <t>_=J35</t>
  </si>
  <si>
    <t>_=K35</t>
  </si>
  <si>
    <t>_=C24</t>
  </si>
  <si>
    <t>_=C25</t>
  </si>
  <si>
    <t>_=C26</t>
  </si>
  <si>
    <t>_=C27</t>
  </si>
  <si>
    <t>_=C28</t>
  </si>
  <si>
    <t>_=C29</t>
  </si>
  <si>
    <t>_=C30</t>
  </si>
  <si>
    <t>_=C31</t>
  </si>
  <si>
    <t>_=C32</t>
  </si>
  <si>
    <t>_=C33</t>
  </si>
  <si>
    <t>_=C34</t>
  </si>
  <si>
    <t>_=C35</t>
  </si>
  <si>
    <t xml:space="preserve">Headcount </t>
  </si>
  <si>
    <t>Disposable income</t>
  </si>
  <si>
    <t>Table 1. Basic poverty and inequality indices</t>
  </si>
  <si>
    <t xml:space="preserve"> * Poor: HH at risk of poverty (i.e. equ.disp.inc.&lt; 60% of Median)</t>
  </si>
  <si>
    <t>Decile Group</t>
  </si>
  <si>
    <t>Disposable Income</t>
  </si>
  <si>
    <t>Original Income</t>
  </si>
  <si>
    <t>of which Cur. Earned Inc.</t>
  </si>
  <si>
    <r>
      <t xml:space="preserve">All Benefits </t>
    </r>
    <r>
      <rPr>
        <sz val="7"/>
        <rFont val="Arial"/>
        <family val="2"/>
      </rPr>
      <t>incl.Pub.Pen.</t>
    </r>
  </si>
  <si>
    <t>All Taxes</t>
  </si>
  <si>
    <t>Social Ins. Contrib.</t>
  </si>
  <si>
    <t>Simulated Benefits</t>
  </si>
  <si>
    <t>Simulated Taxes</t>
  </si>
  <si>
    <t>All</t>
  </si>
  <si>
    <t>Poor*</t>
  </si>
  <si>
    <r>
      <t>of which</t>
    </r>
    <r>
      <rPr>
        <sz val="8"/>
        <rFont val="Arial"/>
        <family val="2"/>
      </rPr>
      <t xml:space="preserve"> Cur. Earned Inc.</t>
    </r>
  </si>
  <si>
    <t xml:space="preserve">   (see also Legend)</t>
  </si>
  <si>
    <t>...Persons</t>
  </si>
  <si>
    <t>...Children</t>
  </si>
  <si>
    <t>...Working Age (WA)</t>
  </si>
  <si>
    <t>...Elderly</t>
  </si>
  <si>
    <t>...WA Econ. Act.</t>
  </si>
  <si>
    <t>%WA Econ. Act.</t>
  </si>
  <si>
    <t>Cut offs</t>
  </si>
  <si>
    <t>Decile</t>
  </si>
  <si>
    <t>Poor</t>
  </si>
  <si>
    <t>Gini</t>
  </si>
  <si>
    <t>FILES:</t>
  </si>
  <si>
    <t>Country</t>
  </si>
  <si>
    <t>Input:</t>
  </si>
  <si>
    <t>AT</t>
  </si>
  <si>
    <t>BE</t>
  </si>
  <si>
    <t>DK</t>
  </si>
  <si>
    <t>FI</t>
  </si>
  <si>
    <t>FR</t>
  </si>
  <si>
    <t>IT</t>
  </si>
  <si>
    <t>LU</t>
  </si>
  <si>
    <t>NL</t>
  </si>
  <si>
    <t>PT</t>
  </si>
  <si>
    <t>UK</t>
  </si>
  <si>
    <t xml:space="preserve">PPPs for GDP - Historical series </t>
  </si>
  <si>
    <t>AUSTRIA</t>
  </si>
  <si>
    <t>BELGIUM</t>
  </si>
  <si>
    <t>DENMARK</t>
  </si>
  <si>
    <t>FINLAND</t>
  </si>
  <si>
    <t>FRANCE</t>
  </si>
  <si>
    <t>GERMANY</t>
  </si>
  <si>
    <t>GREECE</t>
  </si>
  <si>
    <t>IRELAND</t>
  </si>
  <si>
    <t>ITALY</t>
  </si>
  <si>
    <t>LUXEMBOURG</t>
  </si>
  <si>
    <t>NETHERLANDS</t>
  </si>
  <si>
    <t>PORTUGAL</t>
  </si>
  <si>
    <t>SPAIN</t>
  </si>
  <si>
    <t>SWEDEN</t>
  </si>
  <si>
    <t>UNITED KINGDOM</t>
  </si>
  <si>
    <t>acronym</t>
  </si>
  <si>
    <t>NOTES</t>
  </si>
  <si>
    <t>SL</t>
  </si>
  <si>
    <t>EE</t>
  </si>
  <si>
    <t>HU</t>
  </si>
  <si>
    <t>PL</t>
  </si>
  <si>
    <t>SI</t>
  </si>
  <si>
    <t>Header (Y/N)?</t>
  </si>
  <si>
    <t>N</t>
  </si>
  <si>
    <t>SIMPLE LAND</t>
  </si>
  <si>
    <t>Exchange rates for euro to national currency</t>
  </si>
  <si>
    <t>exr_2001</t>
  </si>
  <si>
    <t>exr_2003</t>
  </si>
  <si>
    <t>lu2003</t>
  </si>
  <si>
    <t>Year</t>
  </si>
  <si>
    <t>System</t>
  </si>
  <si>
    <t>eg.</t>
  </si>
  <si>
    <t>Table 3. Mean of Income and Income-Components per Decile Group, Euro adjusted for Purchasing Power Parities</t>
  </si>
  <si>
    <t>Table 4. Share of Income and Income-Components received/paid by each Decile Group</t>
  </si>
  <si>
    <t>Table 5. Household Average Number of …</t>
  </si>
  <si>
    <t>Table 6. Share of ...</t>
  </si>
  <si>
    <t>Poverty line</t>
  </si>
  <si>
    <r>
      <t xml:space="preserve">Table 4 </t>
    </r>
    <r>
      <rPr>
        <sz val="10"/>
        <rFont val="Arial"/>
        <family val="2"/>
      </rPr>
      <t xml:space="preserve">indicates the redistributive nature of the tax and social security systems by showing the share of total income and each of the components that is found in each decile group and amongst households at risk of poverty.
</t>
    </r>
  </si>
  <si>
    <r>
      <t xml:space="preserve">Table 5 </t>
    </r>
    <r>
      <rPr>
        <sz val="10"/>
        <rFont val="Arial"/>
        <family val="2"/>
      </rPr>
      <t xml:space="preserve">and </t>
    </r>
    <r>
      <rPr>
        <b/>
        <sz val="10"/>
        <rFont val="Arial"/>
        <family val="2"/>
      </rPr>
      <t xml:space="preserve">Table 6 </t>
    </r>
    <r>
      <rPr>
        <sz val="10"/>
        <rFont val="Arial"/>
        <family val="2"/>
      </rPr>
      <t xml:space="preserve">provide background demographic information on households in the different deciles and households classified as being at risk of poverty. 
</t>
    </r>
  </si>
  <si>
    <t>EUROMOD: Summary Statistics</t>
  </si>
  <si>
    <t>PATH:</t>
  </si>
  <si>
    <t>System:</t>
  </si>
  <si>
    <t>EUROMOD version:</t>
  </si>
  <si>
    <t>Date of Simulation:</t>
  </si>
  <si>
    <t>Input Data:</t>
  </si>
  <si>
    <t>country</t>
  </si>
  <si>
    <t>system</t>
  </si>
  <si>
    <t>lu</t>
  </si>
  <si>
    <t>Poverty</t>
  </si>
  <si>
    <t>Definitions (see also Legend):</t>
  </si>
  <si>
    <r>
      <t>Children:</t>
    </r>
    <r>
      <rPr>
        <sz val="8"/>
        <rFont val="Arial"/>
        <family val="2"/>
      </rPr>
      <t xml:space="preserve"> persons aged 18 or younger</t>
    </r>
  </si>
  <si>
    <r>
      <t>Working Age:</t>
    </r>
    <r>
      <rPr>
        <sz val="8"/>
        <rFont val="Arial"/>
        <family val="2"/>
      </rPr>
      <t xml:space="preserve"> persons aged between 19 and 64 (both included)</t>
    </r>
  </si>
  <si>
    <r>
      <t>Elderly:</t>
    </r>
    <r>
      <rPr>
        <sz val="8"/>
        <rFont val="Arial"/>
        <family val="2"/>
      </rPr>
      <t xml:space="preserve"> persons aged 65 or older</t>
    </r>
  </si>
  <si>
    <r>
      <t>Working Aged Economically Active:</t>
    </r>
    <r>
      <rPr>
        <sz val="8"/>
        <rFont val="Arial"/>
        <family val="2"/>
      </rPr>
      <t xml:space="preserve"> working aged persons having employment or self-employment income</t>
    </r>
  </si>
  <si>
    <r>
      <t>% of Working Aged Economically Active:</t>
    </r>
    <r>
      <rPr>
        <sz val="8"/>
        <rFont val="Arial"/>
        <family val="2"/>
      </rPr>
      <t xml:space="preserve"> share of working aged persons in household who are economically active</t>
    </r>
  </si>
  <si>
    <r>
      <t>Poor:</t>
    </r>
    <r>
      <rPr>
        <sz val="8"/>
        <rFont val="Arial"/>
        <family val="2"/>
      </rPr>
      <t xml:space="preserve"> households at risk of being in poverty, i.e. with equivalised disposable income below 60% of median</t>
    </r>
  </si>
  <si>
    <t>Decile groups are formed by ranking according to equivalised household disposable income using the modified</t>
  </si>
  <si>
    <t>OECD-equivalence-scale and weighted by household size</t>
  </si>
  <si>
    <t xml:space="preserve">Decile groups are formed by ranking according to equivalised household disposable income using the modified OECD-equivalence-scale and weighted by household size.
</t>
  </si>
  <si>
    <t xml:space="preserve">All other income figures are household averages per decile group. They are monthly and not equivalised.
</t>
  </si>
  <si>
    <t>Population</t>
  </si>
  <si>
    <t>Working Age (WA)</t>
  </si>
  <si>
    <t>Children</t>
  </si>
  <si>
    <t>Elderly</t>
  </si>
  <si>
    <t>WA Econ. Act.</t>
  </si>
  <si>
    <t>z</t>
  </si>
  <si>
    <t>_=COUNTA(HH!2:2)</t>
  </si>
  <si>
    <t>Micro output file (indiv. level)</t>
  </si>
  <si>
    <t>gini_x</t>
  </si>
  <si>
    <t>gini_y</t>
  </si>
  <si>
    <t>_=COUNT(HH!A3:A65536)</t>
  </si>
  <si>
    <t>_=D97</t>
  </si>
  <si>
    <t>_=E97</t>
  </si>
  <si>
    <t>_=F97</t>
  </si>
  <si>
    <t>_=H97</t>
  </si>
  <si>
    <t>_=G97</t>
  </si>
  <si>
    <t>_=MATCH(B13,HH!2:2,0)</t>
  </si>
  <si>
    <t>_=OFFSET(HH!$A$1,0,C13-1)</t>
  </si>
  <si>
    <t>_=MATCH(B14,HH!2:2,0)</t>
  </si>
  <si>
    <t>_=OFFSET(HH!$A$1,0,C14-1)</t>
  </si>
  <si>
    <t>_=MATCH(A23,HH!2:2,0)</t>
  </si>
  <si>
    <t>_=MATCH(B23,HH!2:2,0)</t>
  </si>
  <si>
    <t>_=MATCH(C23,HH!2:2,0)</t>
  </si>
  <si>
    <t>_=MATCH(D23,HH!2:2,0)</t>
  </si>
  <si>
    <t>_=MATCH(E23,HH!2:2,0)</t>
  </si>
  <si>
    <t>_=MATCH(F23,HH!2:2,0)</t>
  </si>
  <si>
    <t>_=MATCH(G23,HH!2:2,0)</t>
  </si>
  <si>
    <t>_=MATCH(H23,HH!2:2,0)</t>
  </si>
  <si>
    <t>_=MATCH(I23,HH!2:2,0)</t>
  </si>
  <si>
    <t>_=MATCH(J23,HH!2:2,0)</t>
  </si>
  <si>
    <t>_=MATCH(K23,HH!2:2,0)</t>
  </si>
  <si>
    <t>_=SUMIF(OFFSET(HH!$A$3,0,$A$24-1,$H$1),$A25,OFFSET(HH!$A$3,0,C$24-1,$H$1))</t>
  </si>
  <si>
    <t>_=SUMIF(OFFSET(HH!$A$3,0,$A$24-1,$H$1),$A26,OFFSET(HH!$A$3,0,C$24-1,$H$1))</t>
  </si>
  <si>
    <t>_=SUMIF(OFFSET(HH!$A$3,0,$A$24-1,$H$1),$A27,OFFSET(HH!$A$3,0,C$24-1,$H$1))</t>
  </si>
  <si>
    <t>_=SUMIF(OFFSET(HH!$A$3,0,$A$24-1,$H$1),$A28,OFFSET(HH!$A$3,0,C$24-1,$H$1))</t>
  </si>
  <si>
    <t>_=SUMIF(OFFSET(HH!$A$3,0,$A$24-1,$H$1),$A29,OFFSET(HH!$A$3,0,C$24-1,$H$1))</t>
  </si>
  <si>
    <t>_=SUMIF(OFFSET(HH!$A$3,0,$A$24-1,$H$1),$A30,OFFSET(HH!$A$3,0,C$24-1,$H$1))</t>
  </si>
  <si>
    <t>_=SUMIF(OFFSET(HH!$A$3,0,$A$24-1,$H$1),$A31,OFFSET(HH!$A$3,0,C$24-1,$H$1))</t>
  </si>
  <si>
    <t>_=SUMIF(OFFSET(HH!$A$3,0,$A$24-1,$H$1),$A32,OFFSET(HH!$A$3,0,C$24-1,$H$1))</t>
  </si>
  <si>
    <t>_=SUMIF(OFFSET(HH!$A$3,0,$A$24-1,$H$1),$A33,OFFSET(HH!$A$3,0,C$24-1,$H$1))</t>
  </si>
  <si>
    <t>_=SUMIF(OFFSET(HH!$A$3,0,$A$24-1,$H$1),$A34,OFFSET(HH!$A$3,0,C$24-1,$H$1))</t>
  </si>
  <si>
    <t>_=SUM(OFFSET(HH!$A$3,0,C$24-1,$H$1))</t>
  </si>
  <si>
    <t>_=SUMIF(OFFSET(HH!$A$3,0,$B$24-1,$H$1),$B$36,OFFSET(HH!$A$3,0,C$24-1,$H$1))</t>
  </si>
  <si>
    <t>_=J36</t>
  </si>
  <si>
    <t>_=K36</t>
  </si>
  <si>
    <t>_=(D25*$C25)/($C$35*D$35)</t>
  </si>
  <si>
    <t>_=(E25*$C25)/($C$35*E$35)</t>
  </si>
  <si>
    <t>_=(F25*$C25)/($C$35*F$35)</t>
  </si>
  <si>
    <t>_=(G25*$C25)/($C$35*G$35)</t>
  </si>
  <si>
    <t>_=(H25*$C25)/($C$35*H$35)</t>
  </si>
  <si>
    <t>_=(I25*$C25)/($C$35*I$35)</t>
  </si>
  <si>
    <t>_=(D26*$C26)/($C$35*D$35)</t>
  </si>
  <si>
    <t>_=(E26*$C26)/($C$35*E$35)</t>
  </si>
  <si>
    <t>_=(F26*$C26)/($C$35*F$35)</t>
  </si>
  <si>
    <t>_=(G26*$C26)/($C$35*G$35)</t>
  </si>
  <si>
    <t>_=(H26*$C26)/($C$35*H$35)</t>
  </si>
  <si>
    <t>_=(I26*$C26)/($C$35*I$35)</t>
  </si>
  <si>
    <t>_=(D27*$C27)/($C$35*D$35)</t>
  </si>
  <si>
    <t>_=(E27*$C27)/($C$35*E$35)</t>
  </si>
  <si>
    <t>_=(F27*$C27)/($C$35*F$35)</t>
  </si>
  <si>
    <t>_=(G27*$C27)/($C$35*G$35)</t>
  </si>
  <si>
    <t>_=(H27*$C27)/($C$35*H$35)</t>
  </si>
  <si>
    <t>_=(I27*$C27)/($C$35*I$35)</t>
  </si>
  <si>
    <t>_=(D28*$C28)/($C$35*D$35)</t>
  </si>
  <si>
    <t>_=(E28*$C28)/($C$35*E$35)</t>
  </si>
  <si>
    <t>_=(F28*$C28)/($C$35*F$35)</t>
  </si>
  <si>
    <t>_=(G28*$C28)/($C$35*G$35)</t>
  </si>
  <si>
    <t>_=(H28*$C28)/($C$35*H$35)</t>
  </si>
  <si>
    <t>_=(I28*$C28)/($C$35*I$35)</t>
  </si>
  <si>
    <t>_=(D29*$C29)/($C$35*D$35)</t>
  </si>
  <si>
    <t>_=(E29*$C29)/($C$35*E$35)</t>
  </si>
  <si>
    <t>_=(F29*$C29)/($C$35*F$35)</t>
  </si>
  <si>
    <t>_=(G29*$C29)/($C$35*G$35)</t>
  </si>
  <si>
    <t>_=(H29*$C29)/($C$35*H$35)</t>
  </si>
  <si>
    <t>_=(I29*$C29)/($C$35*I$35)</t>
  </si>
  <si>
    <t>_=(D30*$C30)/($C$35*D$35)</t>
  </si>
  <si>
    <t>_=(E30*$C30)/($C$35*E$35)</t>
  </si>
  <si>
    <t>_=(F30*$C30)/($C$35*F$35)</t>
  </si>
  <si>
    <t>_=(G30*$C30)/($C$35*G$35)</t>
  </si>
  <si>
    <t>_=(H30*$C30)/($C$35*H$35)</t>
  </si>
  <si>
    <t>_=(I30*$C30)/($C$35*I$35)</t>
  </si>
  <si>
    <t>_=(D31*$C31)/($C$35*D$35)</t>
  </si>
  <si>
    <t>_=(E31*$C31)/($C$35*E$35)</t>
  </si>
  <si>
    <t>_=(F31*$C31)/($C$35*F$35)</t>
  </si>
  <si>
    <t>_=(G31*$C31)/($C$35*G$35)</t>
  </si>
  <si>
    <t>_=(H31*$C31)/($C$35*H$35)</t>
  </si>
  <si>
    <t>_=(I31*$C31)/($C$35*I$35)</t>
  </si>
  <si>
    <t>_=(D32*$C32)/($C$35*D$35)</t>
  </si>
  <si>
    <t>_=(E32*$C32)/($C$35*E$35)</t>
  </si>
  <si>
    <t>_=(F32*$C32)/($C$35*F$35)</t>
  </si>
  <si>
    <t>_=(G32*$C32)/($C$35*G$35)</t>
  </si>
  <si>
    <t>_=(H32*$C32)/($C$35*H$35)</t>
  </si>
  <si>
    <t>_=(I32*$C32)/($C$35*I$35)</t>
  </si>
  <si>
    <t>_=(D33*$C33)/($C$35*D$35)</t>
  </si>
  <si>
    <t>_=(E33*$C33)/($C$35*E$35)</t>
  </si>
  <si>
    <t>_=(F33*$C33)/($C$35*F$35)</t>
  </si>
  <si>
    <t>_=(G33*$C33)/($C$35*G$35)</t>
  </si>
  <si>
    <t>_=(H33*$C33)/($C$35*H$35)</t>
  </si>
  <si>
    <t>_=(I33*$C33)/($C$35*I$35)</t>
  </si>
  <si>
    <t>_=(D34*$C34)/($C$35*D$35)</t>
  </si>
  <si>
    <t>_=(E34*$C34)/($C$35*E$35)</t>
  </si>
  <si>
    <t>_=(F34*$C34)/($C$35*F$35)</t>
  </si>
  <si>
    <t>_=(G34*$C34)/($C$35*G$35)</t>
  </si>
  <si>
    <t>_=(H34*$C34)/($C$35*H$35)</t>
  </si>
  <si>
    <t>_=(I34*$C34)/($C$35*I$35)</t>
  </si>
  <si>
    <t>_=(D36*$C36)/($C$35*D$35)</t>
  </si>
  <si>
    <t>_=(E36*$C36)/($C$35*E$35)</t>
  </si>
  <si>
    <t>_=(F36*$C36)/($C$35*F$35)</t>
  </si>
  <si>
    <t>_=(G36*$C36)/($C$35*G$35)</t>
  </si>
  <si>
    <t>_=(H36*$C36)/($C$35*H$35)</t>
  </si>
  <si>
    <t>_=(I36*$C36)/($C$35*I$35)</t>
  </si>
  <si>
    <t>_=A24</t>
  </si>
  <si>
    <t>_=B24</t>
  </si>
  <si>
    <t>_=MATCH(D69,HH!2:2,0)</t>
  </si>
  <si>
    <t>_=MATCH(E69,HH!2:2,0)</t>
  </si>
  <si>
    <t>_=MATCH(F69,HH!2:2,0)</t>
  </si>
  <si>
    <t>_=MATCH(G69,HH!2:2,0)</t>
  </si>
  <si>
    <t>_=MATCH(H69,HH!2:2,0)</t>
  </si>
  <si>
    <t>_=MATCH(I69,HH!2:2,0)</t>
  </si>
  <si>
    <t>_=SUMIF(OFFSET(HH!$A$3,0,$A$24-1,$H$1),$A71,OFFSET(HH!$A$3,0,D$70-1,$H$1))/$C71</t>
  </si>
  <si>
    <t>_=SUMIF(OFFSET(HH!$A$3,0,$A$24-1,$H$1),$A71,OFFSET(HH!$A$3,0,E$70-1,$H$1))/$C71</t>
  </si>
  <si>
    <t>_=SUMIF(OFFSET(HH!$A$3,0,$A$24-1,$H$1),$A71,OFFSET(HH!$A$3,0,F$70-1,$H$1))/$C71</t>
  </si>
  <si>
    <t>_=SUMIF(OFFSET(HH!$A$3,0,$A$24-1,$H$1),$A71,OFFSET(HH!$A$3,0,G$70-1,$H$1))/$C71</t>
  </si>
  <si>
    <t>_=SUMIF(OFFSET(HH!$A$3,0,$A$24-1,$H$1),$A71,OFFSET(HH!$A$3,0,H$70-1,$H$1))/$C71</t>
  </si>
  <si>
    <t>_=SUMIF(OFFSET(HH!$A$3,0,$A$24-1,$H$1),$A71,OFFSET(HH!$A$3,0,I$70-1,$H$1))/$C71</t>
  </si>
  <si>
    <t>_=SUMIF(OFFSET(HH!$A$3,0,$A$24-1,$H$1),$A72,OFFSET(HH!$A$3,0,D$70-1,$H$1))/$C72</t>
  </si>
  <si>
    <t>_=SUMIF(OFFSET(HH!$A$3,0,$A$24-1,$H$1),$A72,OFFSET(HH!$A$3,0,E$70-1,$H$1))/$C72</t>
  </si>
  <si>
    <t>_=SUMIF(OFFSET(HH!$A$3,0,$A$24-1,$H$1),$A72,OFFSET(HH!$A$3,0,F$70-1,$H$1))/$C72</t>
  </si>
  <si>
    <t>_=SUMIF(OFFSET(HH!$A$3,0,$A$24-1,$H$1),$A72,OFFSET(HH!$A$3,0,G$70-1,$H$1))/$C72</t>
  </si>
  <si>
    <t>_=SUMIF(OFFSET(HH!$A$3,0,$A$24-1,$H$1),$A72,OFFSET(HH!$A$3,0,H$70-1,$H$1))/$C72</t>
  </si>
  <si>
    <t>_=SUMIF(OFFSET(HH!$A$3,0,$A$24-1,$H$1),$A72,OFFSET(HH!$A$3,0,I$70-1,$H$1))/$C72</t>
  </si>
  <si>
    <t>_=SUMIF(OFFSET(HH!$A$3,0,$A$24-1,$H$1),$A73,OFFSET(HH!$A$3,0,D$70-1,$H$1))/$C73</t>
  </si>
  <si>
    <t>_=SUMIF(OFFSET(HH!$A$3,0,$A$24-1,$H$1),$A73,OFFSET(HH!$A$3,0,E$70-1,$H$1))/$C73</t>
  </si>
  <si>
    <t>_=SUMIF(OFFSET(HH!$A$3,0,$A$24-1,$H$1),$A73,OFFSET(HH!$A$3,0,F$70-1,$H$1))/$C73</t>
  </si>
  <si>
    <t>_=SUMIF(OFFSET(HH!$A$3,0,$A$24-1,$H$1),$A73,OFFSET(HH!$A$3,0,G$70-1,$H$1))/$C73</t>
  </si>
  <si>
    <t>_=SUMIF(OFFSET(HH!$A$3,0,$A$24-1,$H$1),$A73,OFFSET(HH!$A$3,0,H$70-1,$H$1))/$C73</t>
  </si>
  <si>
    <t>_=SUMIF(OFFSET(HH!$A$3,0,$A$24-1,$H$1),$A73,OFFSET(HH!$A$3,0,I$70-1,$H$1))/$C73</t>
  </si>
  <si>
    <t>_=SUMIF(OFFSET(HH!$A$3,0,$A$24-1,$H$1),$A74,OFFSET(HH!$A$3,0,D$70-1,$H$1))/$C74</t>
  </si>
  <si>
    <t>_=SUMIF(OFFSET(HH!$A$3,0,$A$24-1,$H$1),$A74,OFFSET(HH!$A$3,0,E$70-1,$H$1))/$C74</t>
  </si>
  <si>
    <t>_=SUMIF(OFFSET(HH!$A$3,0,$A$24-1,$H$1),$A74,OFFSET(HH!$A$3,0,F$70-1,$H$1))/$C74</t>
  </si>
  <si>
    <t>_=SUMIF(OFFSET(HH!$A$3,0,$A$24-1,$H$1),$A74,OFFSET(HH!$A$3,0,G$70-1,$H$1))/$C74</t>
  </si>
  <si>
    <t>_=SUMIF(OFFSET(HH!$A$3,0,$A$24-1,$H$1),$A74,OFFSET(HH!$A$3,0,H$70-1,$H$1))/$C74</t>
  </si>
  <si>
    <t>_=SUMIF(OFFSET(HH!$A$3,0,$A$24-1,$H$1),$A74,OFFSET(HH!$A$3,0,I$70-1,$H$1))/$C74</t>
  </si>
  <si>
    <t>_=SUMIF(OFFSET(HH!$A$3,0,$A$24-1,$H$1),$A75,OFFSET(HH!$A$3,0,D$70-1,$H$1))/$C75</t>
  </si>
  <si>
    <t>_=SUMIF(OFFSET(HH!$A$3,0,$A$24-1,$H$1),$A75,OFFSET(HH!$A$3,0,E$70-1,$H$1))/$C75</t>
  </si>
  <si>
    <t>_=SUMIF(OFFSET(HH!$A$3,0,$A$24-1,$H$1),$A75,OFFSET(HH!$A$3,0,F$70-1,$H$1))/$C75</t>
  </si>
  <si>
    <t>_=SUMIF(OFFSET(HH!$A$3,0,$A$24-1,$H$1),$A75,OFFSET(HH!$A$3,0,G$70-1,$H$1))/$C75</t>
  </si>
  <si>
    <t>_=SUMIF(OFFSET(HH!$A$3,0,$A$24-1,$H$1),$A75,OFFSET(HH!$A$3,0,H$70-1,$H$1))/$C75</t>
  </si>
  <si>
    <t>_=SUMIF(OFFSET(HH!$A$3,0,$A$24-1,$H$1),$A75,OFFSET(HH!$A$3,0,I$70-1,$H$1))/$C75</t>
  </si>
  <si>
    <t>_=SUMIF(OFFSET(HH!$A$3,0,$A$24-1,$H$1),$A76,OFFSET(HH!$A$3,0,D$70-1,$H$1))/$C76</t>
  </si>
  <si>
    <t>_=SUMIF(OFFSET(HH!$A$3,0,$A$24-1,$H$1),$A76,OFFSET(HH!$A$3,0,E$70-1,$H$1))/$C76</t>
  </si>
  <si>
    <t>_=SUMIF(OFFSET(HH!$A$3,0,$A$24-1,$H$1),$A76,OFFSET(HH!$A$3,0,F$70-1,$H$1))/$C76</t>
  </si>
  <si>
    <t>_=SUMIF(OFFSET(HH!$A$3,0,$A$24-1,$H$1),$A76,OFFSET(HH!$A$3,0,G$70-1,$H$1))/$C76</t>
  </si>
  <si>
    <t>_=SUMIF(OFFSET(HH!$A$3,0,$A$24-1,$H$1),$A76,OFFSET(HH!$A$3,0,H$70-1,$H$1))/$C76</t>
  </si>
  <si>
    <t>_=SUMIF(OFFSET(HH!$A$3,0,$A$24-1,$H$1),$A76,OFFSET(HH!$A$3,0,I$70-1,$H$1))/$C76</t>
  </si>
  <si>
    <t>_=SUMIF(OFFSET(HH!$A$3,0,$A$24-1,$H$1),$A77,OFFSET(HH!$A$3,0,D$70-1,$H$1))/$C77</t>
  </si>
  <si>
    <t>_=SUMIF(OFFSET(HH!$A$3,0,$A$24-1,$H$1),$A77,OFFSET(HH!$A$3,0,E$70-1,$H$1))/$C77</t>
  </si>
  <si>
    <t>_=SUMIF(OFFSET(HH!$A$3,0,$A$24-1,$H$1),$A77,OFFSET(HH!$A$3,0,F$70-1,$H$1))/$C77</t>
  </si>
  <si>
    <t>_=SUMIF(OFFSET(HH!$A$3,0,$A$24-1,$H$1),$A77,OFFSET(HH!$A$3,0,G$70-1,$H$1))/$C77</t>
  </si>
  <si>
    <t>_=SUMIF(OFFSET(HH!$A$3,0,$A$24-1,$H$1),$A77,OFFSET(HH!$A$3,0,H$70-1,$H$1))/$C77</t>
  </si>
  <si>
    <t>_=SUMIF(OFFSET(HH!$A$3,0,$A$24-1,$H$1),$A77,OFFSET(HH!$A$3,0,I$70-1,$H$1))/$C77</t>
  </si>
  <si>
    <t>_=SUMIF(OFFSET(HH!$A$3,0,$A$24-1,$H$1),$A78,OFFSET(HH!$A$3,0,D$70-1,$H$1))/$C78</t>
  </si>
  <si>
    <t>_=SUMIF(OFFSET(HH!$A$3,0,$A$24-1,$H$1),$A78,OFFSET(HH!$A$3,0,E$70-1,$H$1))/$C78</t>
  </si>
  <si>
    <t>_=SUMIF(OFFSET(HH!$A$3,0,$A$24-1,$H$1),$A78,OFFSET(HH!$A$3,0,F$70-1,$H$1))/$C78</t>
  </si>
  <si>
    <t>_=SUMIF(OFFSET(HH!$A$3,0,$A$24-1,$H$1),$A78,OFFSET(HH!$A$3,0,G$70-1,$H$1))/$C78</t>
  </si>
  <si>
    <t>_=SUMIF(OFFSET(HH!$A$3,0,$A$24-1,$H$1),$A78,OFFSET(HH!$A$3,0,H$70-1,$H$1))/$C78</t>
  </si>
  <si>
    <t>_=SUMIF(OFFSET(HH!$A$3,0,$A$24-1,$H$1),$A78,OFFSET(HH!$A$3,0,I$70-1,$H$1))/$C78</t>
  </si>
  <si>
    <t>_=SUMIF(OFFSET(HH!$A$3,0,$A$24-1,$H$1),$A79,OFFSET(HH!$A$3,0,D$70-1,$H$1))/$C79</t>
  </si>
  <si>
    <t>_=SUMIF(OFFSET(HH!$A$3,0,$A$24-1,$H$1),$A79,OFFSET(HH!$A$3,0,E$70-1,$H$1))/$C79</t>
  </si>
  <si>
    <t>_=SUMIF(OFFSET(HH!$A$3,0,$A$24-1,$H$1),$A79,OFFSET(HH!$A$3,0,F$70-1,$H$1))/$C79</t>
  </si>
  <si>
    <t>_=SUMIF(OFFSET(HH!$A$3,0,$A$24-1,$H$1),$A79,OFFSET(HH!$A$3,0,G$70-1,$H$1))/$C79</t>
  </si>
  <si>
    <t>_=SUMIF(OFFSET(HH!$A$3,0,$A$24-1,$H$1),$A79,OFFSET(HH!$A$3,0,H$70-1,$H$1))/$C79</t>
  </si>
  <si>
    <t>_=SUMIF(OFFSET(HH!$A$3,0,$A$24-1,$H$1),$A79,OFFSET(HH!$A$3,0,I$70-1,$H$1))/$C79</t>
  </si>
  <si>
    <t>_=SUMIF(OFFSET(HH!$A$3,0,$A$24-1,$H$1),$A80,OFFSET(HH!$A$3,0,D$70-1,$H$1))/$C80</t>
  </si>
  <si>
    <t>_=SUMIF(OFFSET(HH!$A$3,0,$A$24-1,$H$1),$A80,OFFSET(HH!$A$3,0,E$70-1,$H$1))/$C80</t>
  </si>
  <si>
    <t>_=SUMIF(OFFSET(HH!$A$3,0,$A$24-1,$H$1),$A80,OFFSET(HH!$A$3,0,F$70-1,$H$1))/$C80</t>
  </si>
  <si>
    <t>_=SUMIF(OFFSET(HH!$A$3,0,$A$24-1,$H$1),$A80,OFFSET(HH!$A$3,0,G$70-1,$H$1))/$C80</t>
  </si>
  <si>
    <t>_=SUMIF(OFFSET(HH!$A$3,0,$A$24-1,$H$1),$A80,OFFSET(HH!$A$3,0,H$70-1,$H$1))/$C80</t>
  </si>
  <si>
    <t>_=SUMIF(OFFSET(HH!$A$3,0,$A$24-1,$H$1),$A80,OFFSET(HH!$A$3,0,I$70-1,$H$1))/$C80</t>
  </si>
  <si>
    <t>_=SUM(OFFSET(HH!$A$3,0,D$70-1,$H$1))/$C81</t>
  </si>
  <si>
    <t>_=SUM(OFFSET(HH!$A$3,0,E$70-1,$H$1))/$C81</t>
  </si>
  <si>
    <t>_=SUM(OFFSET(HH!$A$3,0,F$70-1,$H$1))/$C81</t>
  </si>
  <si>
    <t>_=SUM(OFFSET(HH!$A$3,0,G$70-1,$H$1))/$C81</t>
  </si>
  <si>
    <t>_=SUM(OFFSET(HH!$A$3,0,H$70-1,$H$1))/$C81</t>
  </si>
  <si>
    <t>_=SUM(OFFSET(HH!$A$3,0,I$70-1,$H$1))/$C81</t>
  </si>
  <si>
    <t>_=C36</t>
  </si>
  <si>
    <t>_=IF($C82&gt;0,SUMIF(OFFSET(HH!$A$3,0,$B$70-1,$H$1),$B$36,OFFSET(HH!$A$3,0,D$70-1,$H$1))/$C82,0)</t>
  </si>
  <si>
    <t>_=IF($C82&gt;0,SUMIF(OFFSET(HH!$A$3,0,$B$70-1,$H$1),$B$36,OFFSET(HH!$A$3,0,E$70-1,$H$1))/$C82,0)</t>
  </si>
  <si>
    <t>_=IF($C82&gt;0,SUMIF(OFFSET(HH!$A$3,0,$B$70-1,$H$1),$B$36,OFFSET(HH!$A$3,0,F$70-1,$H$1))/$C82,0)</t>
  </si>
  <si>
    <t>_=IF($C82&gt;0,SUMIF(OFFSET(HH!$A$3,0,$B$70-1,$H$1),$B$36,OFFSET(HH!$A$3,0,G$70-1,$H$1))/$C82,0)</t>
  </si>
  <si>
    <t>_=IF($C82&gt;0,SUMIF(OFFSET(HH!$A$3,0,$B$70-1,$H$1),$B$36,OFFSET(HH!$A$3,0,H$70-1,$H$1))/$C82,0)</t>
  </si>
  <si>
    <t>_=IF($C82&gt;0,SUMIF(OFFSET(HH!$A$3,0,$B$70-1,$H$1),$B$36,OFFSET(HH!$A$3,0,I$70-1,$H$1))/$C82,0)</t>
  </si>
  <si>
    <t>_=(D71*$C71)/(D$81*$C$81)</t>
  </si>
  <si>
    <t>_=(E71*$C71)/(E$81*$C$81)</t>
  </si>
  <si>
    <t>_=(F71*$C71)/(F$81*$C$81)</t>
  </si>
  <si>
    <t>_=(G71*$C71)/(G$81*$C$81)</t>
  </si>
  <si>
    <t>_=(H71*$C71)/(H$81*$C$81)</t>
  </si>
  <si>
    <t>_=(D72*$C72)/(D$81*$C$81)</t>
  </si>
  <si>
    <t>_=(E72*$C72)/(E$81*$C$81)</t>
  </si>
  <si>
    <t>_=(F72*$C72)/(F$81*$C$81)</t>
  </si>
  <si>
    <t>_=(G72*$C72)/(G$81*$C$81)</t>
  </si>
  <si>
    <t>_=(H72*$C72)/(H$81*$C$81)</t>
  </si>
  <si>
    <t>_=(D73*$C73)/(D$81*$C$81)</t>
  </si>
  <si>
    <t>_=(E73*$C73)/(E$81*$C$81)</t>
  </si>
  <si>
    <t>_=(F73*$C73)/(F$81*$C$81)</t>
  </si>
  <si>
    <t>_=(G73*$C73)/(G$81*$C$81)</t>
  </si>
  <si>
    <t>_=(H73*$C73)/(H$81*$C$81)</t>
  </si>
  <si>
    <t>_=(D74*$C74)/(D$81*$C$81)</t>
  </si>
  <si>
    <t>_=(E74*$C74)/(E$81*$C$81)</t>
  </si>
  <si>
    <t>_=(F74*$C74)/(F$81*$C$81)</t>
  </si>
  <si>
    <t>_=(G74*$C74)/(G$81*$C$81)</t>
  </si>
  <si>
    <t>_=(H74*$C74)/(H$81*$C$81)</t>
  </si>
  <si>
    <t>_=(D75*$C75)/(D$81*$C$81)</t>
  </si>
  <si>
    <t>_=(E75*$C75)/(E$81*$C$81)</t>
  </si>
  <si>
    <t>_=(F75*$C75)/(F$81*$C$81)</t>
  </si>
  <si>
    <t>_=(G75*$C75)/(G$81*$C$81)</t>
  </si>
  <si>
    <t>_=(H75*$C75)/(H$81*$C$81)</t>
  </si>
  <si>
    <t>_=(D76*$C76)/(D$81*$C$81)</t>
  </si>
  <si>
    <t>_=(E76*$C76)/(E$81*$C$81)</t>
  </si>
  <si>
    <t>_=(F76*$C76)/(F$81*$C$81)</t>
  </si>
  <si>
    <t>_=(G76*$C76)/(G$81*$C$81)</t>
  </si>
  <si>
    <t>_=(H76*$C76)/(H$81*$C$81)</t>
  </si>
  <si>
    <t>_=(D77*$C77)/(D$81*$C$81)</t>
  </si>
  <si>
    <t>_=(E77*$C77)/(E$81*$C$81)</t>
  </si>
  <si>
    <t>_=(F77*$C77)/(F$81*$C$81)</t>
  </si>
  <si>
    <t>_=(G77*$C77)/(G$81*$C$81)</t>
  </si>
  <si>
    <t>_=(H77*$C77)/(H$81*$C$81)</t>
  </si>
  <si>
    <t>_=(D78*$C78)/(D$81*$C$81)</t>
  </si>
  <si>
    <t>_=(E78*$C78)/(E$81*$C$81)</t>
  </si>
  <si>
    <t>_=(F78*$C78)/(F$81*$C$81)</t>
  </si>
  <si>
    <t>_=(G78*$C78)/(G$81*$C$81)</t>
  </si>
  <si>
    <t>_=(H78*$C78)/(H$81*$C$81)</t>
  </si>
  <si>
    <t>_=(D79*$C79)/(D$81*$C$81)</t>
  </si>
  <si>
    <t>_=(E79*$C79)/(E$81*$C$81)</t>
  </si>
  <si>
    <t>_=(F79*$C79)/(F$81*$C$81)</t>
  </si>
  <si>
    <t>_=(G79*$C79)/(G$81*$C$81)</t>
  </si>
  <si>
    <t>_=(H79*$C79)/(H$81*$C$81)</t>
  </si>
  <si>
    <t>_=(D80*$C80)/(D$81*$C$81)</t>
  </si>
  <si>
    <t>_=(E80*$C80)/(E$81*$C$81)</t>
  </si>
  <si>
    <t>_=(F80*$C80)/(F$81*$C$81)</t>
  </si>
  <si>
    <t>_=(G80*$C80)/(G$81*$C$81)</t>
  </si>
  <si>
    <t>_=(H80*$C80)/(H$81*$C$81)</t>
  </si>
  <si>
    <t>_=(D81*$C81)/(D$81*$C$81)</t>
  </si>
  <si>
    <t>_=(E81*$C81)/(E$81*$C$81)</t>
  </si>
  <si>
    <t>_=(F81*$C81)/(F$81*$C$81)</t>
  </si>
  <si>
    <t>_=(G81*$C81)/(G$81*$C$81)</t>
  </si>
  <si>
    <t>_=(H81*$C81)/(H$81*$C$81)</t>
  </si>
  <si>
    <t>_=(D82*$C82)/(D$81*$C$81)</t>
  </si>
  <si>
    <t>_=(E82*$C82)/(E$81*$C$81)</t>
  </si>
  <si>
    <t>_=(F82*$C82)/(F$81*$C$81)</t>
  </si>
  <si>
    <t>_=(G82*$C82)/(G$81*$C$81)</t>
  </si>
  <si>
    <t>_=(H82*$C82)/(H$81*$C$81)</t>
  </si>
  <si>
    <t>_=MATCH(B111,HH!2:2,0)</t>
  </si>
  <si>
    <t>EU27</t>
  </si>
  <si>
    <t>BULGARIA</t>
  </si>
  <si>
    <t>CZECH REPUBLIC</t>
  </si>
  <si>
    <t>CYPRUS</t>
  </si>
  <si>
    <t>LATVIA</t>
  </si>
  <si>
    <t>LITHUANIA</t>
  </si>
  <si>
    <t>MALTA</t>
  </si>
  <si>
    <t>ROMANIA</t>
  </si>
  <si>
    <t>SLOVAKIA</t>
  </si>
  <si>
    <t>_=MATCH(A1,ppp!A3:A32,0)</t>
  </si>
  <si>
    <t>_=HLOOKUP(CONCATENATE("exr_",L47),ppp!3:32,L46,FALSE)</t>
  </si>
  <si>
    <t>PPP:</t>
  </si>
  <si>
    <t>Exchange rate:</t>
  </si>
  <si>
    <t>Statistics in euros?</t>
  </si>
  <si>
    <t>Data in euros?</t>
  </si>
  <si>
    <r>
      <t xml:space="preserve">Tables 2 </t>
    </r>
    <r>
      <rPr>
        <sz val="10"/>
        <rFont val="Arial"/>
        <family val="2"/>
      </rPr>
      <t xml:space="preserve">and </t>
    </r>
    <r>
      <rPr>
        <b/>
        <sz val="10"/>
        <rFont val="Arial"/>
        <family val="2"/>
      </rPr>
      <t xml:space="preserve">3 </t>
    </r>
    <r>
      <rPr>
        <sz val="10"/>
        <rFont val="Arial"/>
        <family val="2"/>
      </rPr>
      <t xml:space="preserve">show national distributions of household income and the tax-benefit components of these incomes and the percentage of taxes and benefits simulated by EUROMOD by decile group for each country. An additional row shows the same for people in households at risk of poverty. The first table shows Euro-values, using July XXXX market exchange rates for non-Euro countries. The second shows Euro-values adjusted for purchasing power parities (Eurostat, EU27=1). 
</t>
    </r>
  </si>
  <si>
    <r>
      <t>Acknowledgements:</t>
    </r>
    <r>
      <rPr>
        <sz val="10"/>
        <rFont val="Arial"/>
        <family val="2"/>
      </rPr>
      <t xml:space="preserve">
The preparation of these tables was carried out as part of the I-CUE (Improving the Capacity and Usability of EUROMOD) project, financed by the Infrastructures programme of the European Commission (RIDS-CT-2004-011859).</t>
    </r>
  </si>
  <si>
    <t>ils_dispy_wt</t>
  </si>
  <si>
    <t>ils_origy_wt</t>
  </si>
  <si>
    <t>ils_ben_wt</t>
  </si>
  <si>
    <t>ils_tax_wt</t>
  </si>
  <si>
    <t>ils_bensim_wt</t>
  </si>
  <si>
    <t>ils_taxsim_wt</t>
  </si>
  <si>
    <t>Source:</t>
  </si>
  <si>
    <t>(20)</t>
  </si>
  <si>
    <t>(22)</t>
  </si>
  <si>
    <t>21</t>
  </si>
  <si>
    <t>24</t>
  </si>
  <si>
    <t>(23)</t>
  </si>
  <si>
    <t>(25)</t>
  </si>
  <si>
    <t>(26)</t>
  </si>
  <si>
    <t>(27)</t>
  </si>
  <si>
    <t xml:space="preserve">Statistics -&gt; Economy &amp; finance -&gt; Purchasing power parities (PPPs) -&gt; Database -&gt;  Purchasing power parities (PPPs), price level indices and real expenditures for ESA95 aggregates (prc_ppp_ind) </t>
  </si>
  <si>
    <t xml:space="preserve">http://epp.eurostat.ec.europa.eu/portal/page/portal/purchasing_power_parities/data/database# </t>
  </si>
  <si>
    <t>exr_2007</t>
  </si>
  <si>
    <t>exr_2008</t>
  </si>
  <si>
    <t>exr_2009</t>
  </si>
  <si>
    <t>DE</t>
  </si>
  <si>
    <t>EL</t>
  </si>
  <si>
    <t>IE</t>
  </si>
  <si>
    <t>ES</t>
  </si>
  <si>
    <t>SE</t>
  </si>
  <si>
    <t>BG</t>
  </si>
  <si>
    <t>CZ</t>
  </si>
  <si>
    <t>CY</t>
  </si>
  <si>
    <t>LV</t>
  </si>
  <si>
    <t>LT</t>
  </si>
  <si>
    <t>MT</t>
  </si>
  <si>
    <t>RO</t>
  </si>
  <si>
    <t>SK</t>
  </si>
  <si>
    <r>
      <t>Must</t>
    </r>
    <r>
      <rPr>
        <sz val="10"/>
        <color indexed="10"/>
        <rFont val="Arial"/>
        <family val="2"/>
      </rPr>
      <t xml:space="preserve"> correspond to the rates in the control files (last updated 08/08/11)!</t>
    </r>
  </si>
  <si>
    <t>exr_2010</t>
  </si>
  <si>
    <t>Last updated: 7 Sep 2011</t>
  </si>
  <si>
    <t>You must enable macros before using this workbook</t>
  </si>
  <si>
    <t>D:\EUROMOD\EuromodFiles_G1.0+\Output\</t>
  </si>
  <si>
    <t>version: 20140207</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</si>
</sst>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000"/>
    <numFmt numFmtId="166" formatCode="0.000"/>
    <numFmt numFmtId="167" formatCode="0.0%"/>
    <numFmt numFmtId="168" formatCode="_-[$€]* #,##0.00_-;\-[$€]* #,##0.00_-;_-[$€]* &quot;-&quot;??_-;_-@_-"/>
    <numFmt numFmtId="169" formatCode="0.0"/>
  </numFmts>
  <fonts count="45" x14ac:knownFonts="1">
    <font>
      <sz val="10"/>
      <name val="Arial"/>
    </font>
    <font>
      <sz val="10"/>
      <name val="Arial"/>
      <family val="2"/>
    </font>
    <font>
      <sz val="10"/>
      <name val="Arial"/>
      <family val="2"/>
    </font>
    <font>
      <u/>
      <sz val="10"/>
      <color indexed="12"/>
      <name val="Arial"/>
      <family val="2"/>
    </font>
    <font>
      <b/>
      <sz val="11"/>
      <color indexed="18"/>
      <name val="Arial"/>
      <family val="2"/>
    </font>
    <font>
      <sz val="8"/>
      <name val="Arial"/>
      <family val="2"/>
    </font>
    <font>
      <b/>
      <sz val="8"/>
      <name val="Arial"/>
      <family val="2"/>
    </font>
    <font>
      <b/>
      <sz val="8"/>
      <color indexed="18"/>
      <name val="Arial"/>
      <family val="2"/>
    </font>
    <font>
      <sz val="7"/>
      <name val="Arial"/>
      <family val="2"/>
    </font>
    <font>
      <b/>
      <sz val="8"/>
      <color indexed="10"/>
      <name val="Arial"/>
      <family val="2"/>
    </font>
    <font>
      <sz val="10"/>
      <color indexed="10"/>
      <name val="Arial"/>
      <family val="2"/>
    </font>
    <font>
      <sz val="10"/>
      <color indexed="10"/>
      <name val="Arial"/>
      <family val="2"/>
    </font>
    <font>
      <sz val="9"/>
      <name val="Arial"/>
      <family val="2"/>
    </font>
    <font>
      <i/>
      <sz val="8"/>
      <name val="Arial"/>
      <family val="2"/>
    </font>
    <font>
      <b/>
      <u/>
      <sz val="11"/>
      <color indexed="18"/>
      <name val="Arial"/>
      <family val="2"/>
    </font>
    <font>
      <b/>
      <sz val="10"/>
      <name val="Arial"/>
      <family val="2"/>
    </font>
    <font>
      <sz val="10"/>
      <name val="Arial"/>
      <family val="2"/>
    </font>
    <font>
      <u/>
      <sz val="8"/>
      <name val="Arial"/>
      <family val="2"/>
    </font>
    <font>
      <sz val="10"/>
      <name val="System"/>
      <family val="2"/>
    </font>
    <font>
      <b/>
      <sz val="14"/>
      <name val="Arial"/>
      <family val="2"/>
    </font>
    <font>
      <sz val="8"/>
      <color indexed="9"/>
      <name val="Arial"/>
      <family val="2"/>
    </font>
    <font>
      <b/>
      <sz val="20"/>
      <color indexed="18"/>
      <name val="Arial"/>
      <family val="2"/>
    </font>
    <font>
      <sz val="10"/>
      <color indexed="10"/>
      <name val="System"/>
      <family val="2"/>
    </font>
    <font>
      <b/>
      <sz val="10"/>
      <color indexed="22"/>
      <name val="Verdana"/>
      <family val="2"/>
    </font>
    <font>
      <b/>
      <sz val="10"/>
      <name val="Verdana"/>
      <family val="2"/>
    </font>
    <font>
      <b/>
      <sz val="10"/>
      <color indexed="18"/>
      <name val="Verdana"/>
      <family val="2"/>
    </font>
    <font>
      <b/>
      <sz val="10"/>
      <color indexed="23"/>
      <name val="Verdana"/>
      <family val="2"/>
    </font>
    <font>
      <b/>
      <sz val="10"/>
      <color indexed="10"/>
      <name val="Verdana"/>
      <family val="2"/>
    </font>
    <font>
      <b/>
      <sz val="10"/>
      <color indexed="55"/>
      <name val="Verdana"/>
      <family val="2"/>
    </font>
    <font>
      <sz val="10"/>
      <name val="Verdana"/>
      <family val="2"/>
    </font>
    <font>
      <b/>
      <sz val="10"/>
      <color indexed="10"/>
      <name val="Arial"/>
      <family val="2"/>
    </font>
    <font>
      <b/>
      <sz val="8"/>
      <color indexed="81"/>
      <name val="Tahoma"/>
      <family val="2"/>
    </font>
    <font>
      <sz val="8"/>
      <color indexed="81"/>
      <name val="Tahoma"/>
      <family val="2"/>
    </font>
    <font>
      <sz val="8"/>
      <color indexed="62"/>
      <name val="Arial"/>
      <family val="2"/>
    </font>
    <font>
      <b/>
      <sz val="8"/>
      <color indexed="62"/>
      <name val="Arial"/>
      <family val="2"/>
    </font>
    <font>
      <sz val="8"/>
      <color indexed="10"/>
      <name val="Arial"/>
      <family val="2"/>
    </font>
    <font>
      <sz val="8"/>
      <color indexed="10"/>
      <name val="Arial"/>
      <family val="2"/>
    </font>
    <font>
      <b/>
      <sz val="9"/>
      <name val="Arial"/>
      <family val="2"/>
    </font>
    <font>
      <sz val="9"/>
      <name val="Arial"/>
      <family val="2"/>
    </font>
    <font>
      <sz val="9"/>
      <color indexed="8"/>
      <name val="Verdana"/>
      <family val="2"/>
    </font>
    <font>
      <b/>
      <sz val="3"/>
      <color theme="0"/>
      <name val="Verdana"/>
      <family val="2"/>
    </font>
    <font>
      <b/>
      <sz val="10"/>
      <color rgb="FFFF0000"/>
      <name val="Verdana"/>
      <family val="2"/>
    </font>
    <font>
      <sz val="10"/>
      <color rgb="FF000000"/>
      <name val="Arial"/>
      <family val="2"/>
    </font>
    <font>
      <sz val="10"/>
      <color theme="1"/>
      <name val="Arial"/>
      <family val="2"/>
    </font>
    <font>
      <b/>
      <sz val="14"/>
      <color theme="1" tint="0.14999847407452621"/>
      <name val="Arial"/>
      <family val="2"/>
    </font>
  </fonts>
  <fills count="4">
    <fill>
      <patternFill patternType="none"/>
    </fill>
    <fill>
      <patternFill patternType="gray125"/>
    </fill>
    <fill>
      <patternFill patternType="solid">
        <fgColor indexed="9"/>
        <bgColor indexed="64"/>
      </patternFill>
    </fill>
    <fill>
      <patternFill patternType="solid">
        <fgColor indexed="43"/>
        <bgColor indexed="64"/>
      </patternFill>
    </fill>
  </fills>
  <borders count="22">
    <border>
      <left/>
      <right/>
      <top/>
      <bottom/>
      <diagonal/>
    </border>
    <border>
      <left/>
      <right/>
      <top style="thick">
        <color indexed="64"/>
      </top>
      <bottom style="thin">
        <color indexed="64"/>
      </bottom>
      <diagonal/>
    </border>
    <border>
      <left/>
      <right/>
      <top style="thin">
        <color indexed="64"/>
      </top>
      <bottom/>
      <diagonal/>
    </border>
    <border>
      <left/>
      <right/>
      <top style="thin">
        <color indexed="64"/>
      </top>
      <bottom style="thick">
        <color indexed="64"/>
      </bottom>
      <diagonal/>
    </border>
    <border>
      <left/>
      <right/>
      <top style="thick">
        <color indexed="64"/>
      </top>
      <bottom/>
      <diagonal/>
    </border>
    <border>
      <left/>
      <right/>
      <top/>
      <bottom style="thin">
        <color indexed="64"/>
      </bottom>
      <diagonal/>
    </border>
    <border>
      <left/>
      <right/>
      <top/>
      <bottom style="thick">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s>
  <cellStyleXfs count="5">
    <xf numFmtId="0" fontId="0" fillId="0" borderId="0"/>
    <xf numFmtId="168" fontId="1" fillId="0" borderId="0" applyFont="0" applyFill="0" applyBorder="0" applyAlignment="0" applyProtection="0"/>
    <xf numFmtId="0" fontId="3" fillId="0" borderId="0" applyNumberFormat="0" applyFill="0" applyBorder="0" applyAlignment="0" applyProtection="0">
      <alignment vertical="top"/>
      <protection locked="0"/>
    </xf>
    <xf numFmtId="9" fontId="2" fillId="0" borderId="0" applyFont="0" applyFill="0" applyBorder="0" applyAlignment="0" applyProtection="0"/>
    <xf numFmtId="0" fontId="43" fillId="0" borderId="0"/>
  </cellStyleXfs>
  <cellXfs count="217">
    <xf numFmtId="0" fontId="0" fillId="0" borderId="0" xfId="0"/>
    <xf numFmtId="0" fontId="4" fillId="0" borderId="0" xfId="0" applyFont="1"/>
    <xf numFmtId="0" fontId="5" fillId="0" borderId="0" xfId="0" applyFont="1"/>
    <xf numFmtId="0" fontId="6" fillId="0" borderId="0" xfId="0" applyFont="1"/>
    <xf numFmtId="0" fontId="7" fillId="0" borderId="0" xfId="0" applyFont="1"/>
    <xf numFmtId="0" fontId="5" fillId="0" borderId="1" xfId="0" applyFont="1" applyBorder="1" applyAlignment="1">
      <alignment horizontal="right" vertical="center" wrapText="1"/>
    </xf>
    <xf numFmtId="0" fontId="8" fillId="0" borderId="1" xfId="0" applyFont="1" applyBorder="1" applyAlignment="1">
      <alignment horizontal="right" vertical="center" wrapText="1"/>
    </xf>
    <xf numFmtId="0" fontId="5" fillId="0" borderId="0" xfId="0" applyFont="1" applyAlignment="1">
      <alignment horizontal="center"/>
    </xf>
    <xf numFmtId="3" fontId="5" fillId="0" borderId="0" xfId="0" applyNumberFormat="1" applyFont="1"/>
    <xf numFmtId="167" fontId="5" fillId="0" borderId="0" xfId="3" applyNumberFormat="1" applyFont="1"/>
    <xf numFmtId="0" fontId="7" fillId="0" borderId="2" xfId="0" applyFont="1" applyBorder="1" applyAlignment="1">
      <alignment horizontal="center"/>
    </xf>
    <xf numFmtId="3" fontId="7" fillId="0" borderId="2" xfId="0" applyNumberFormat="1" applyFont="1" applyBorder="1"/>
    <xf numFmtId="167" fontId="7" fillId="0" borderId="2" xfId="3" applyNumberFormat="1" applyFont="1" applyBorder="1"/>
    <xf numFmtId="0" fontId="5" fillId="0" borderId="3" xfId="0" applyFont="1" applyBorder="1" applyAlignment="1">
      <alignment horizontal="center"/>
    </xf>
    <xf numFmtId="3" fontId="5" fillId="0" borderId="3" xfId="0" applyNumberFormat="1" applyFont="1" applyBorder="1"/>
    <xf numFmtId="167" fontId="5" fillId="0" borderId="3" xfId="3" applyNumberFormat="1" applyFont="1" applyBorder="1"/>
    <xf numFmtId="0" fontId="7" fillId="0" borderId="0" xfId="0" applyFont="1" applyBorder="1" applyAlignment="1">
      <alignment horizontal="center"/>
    </xf>
    <xf numFmtId="3" fontId="7" fillId="0" borderId="0" xfId="0" applyNumberFormat="1" applyFont="1" applyBorder="1"/>
    <xf numFmtId="0" fontId="5" fillId="0" borderId="1" xfId="0" applyFont="1" applyBorder="1" applyAlignment="1">
      <alignment horizontal="center" vertical="center" wrapText="1"/>
    </xf>
    <xf numFmtId="0" fontId="5" fillId="0" borderId="0" xfId="0" applyFont="1" applyAlignment="1">
      <alignment vertical="center"/>
    </xf>
    <xf numFmtId="167" fontId="5" fillId="0" borderId="3" xfId="0" applyNumberFormat="1" applyFont="1" applyBorder="1"/>
    <xf numFmtId="0" fontId="9" fillId="0" borderId="0" xfId="0" applyFont="1" applyBorder="1" applyAlignment="1">
      <alignment horizontal="center"/>
    </xf>
    <xf numFmtId="3" fontId="9" fillId="0" borderId="0" xfId="0" applyNumberFormat="1" applyFont="1" applyBorder="1"/>
    <xf numFmtId="0" fontId="9" fillId="0" borderId="0" xfId="0" applyFont="1"/>
    <xf numFmtId="3" fontId="5" fillId="0" borderId="0" xfId="0" applyNumberFormat="1" applyFont="1" applyBorder="1" applyAlignment="1">
      <alignment horizontal="right"/>
    </xf>
    <xf numFmtId="0" fontId="7" fillId="0" borderId="0" xfId="0" applyFont="1" applyBorder="1" applyAlignment="1">
      <alignment horizontal="left"/>
    </xf>
    <xf numFmtId="0" fontId="5" fillId="0" borderId="2" xfId="0" applyFont="1" applyBorder="1" applyAlignment="1">
      <alignment horizontal="center"/>
    </xf>
    <xf numFmtId="167" fontId="5" fillId="0" borderId="2" xfId="3" applyNumberFormat="1" applyFont="1" applyBorder="1"/>
    <xf numFmtId="0" fontId="5" fillId="0" borderId="0" xfId="0" applyFont="1" applyBorder="1" applyAlignment="1">
      <alignment horizontal="center"/>
    </xf>
    <xf numFmtId="167" fontId="5" fillId="0" borderId="0" xfId="3" applyNumberFormat="1" applyFont="1" applyBorder="1"/>
    <xf numFmtId="0" fontId="10" fillId="0" borderId="0" xfId="0" applyFont="1"/>
    <xf numFmtId="0" fontId="5" fillId="0" borderId="0" xfId="0" applyFont="1" applyBorder="1" applyAlignment="1">
      <alignment horizontal="right" vertical="center" wrapText="1"/>
    </xf>
    <xf numFmtId="0" fontId="8" fillId="0" borderId="0" xfId="0" applyFont="1" applyBorder="1" applyAlignment="1">
      <alignment horizontal="right" vertical="center" wrapText="1"/>
    </xf>
    <xf numFmtId="0" fontId="10" fillId="0" borderId="0" xfId="0" applyFont="1" applyBorder="1"/>
    <xf numFmtId="167" fontId="7" fillId="0" borderId="0" xfId="3" applyNumberFormat="1" applyFont="1" applyBorder="1"/>
    <xf numFmtId="167" fontId="5" fillId="0" borderId="0" xfId="0" applyNumberFormat="1" applyFont="1" applyBorder="1"/>
    <xf numFmtId="4" fontId="5" fillId="0" borderId="0" xfId="0" applyNumberFormat="1" applyFont="1"/>
    <xf numFmtId="4" fontId="7" fillId="0" borderId="2" xfId="0" applyNumberFormat="1" applyFont="1" applyBorder="1"/>
    <xf numFmtId="4" fontId="5" fillId="0" borderId="3" xfId="0" applyNumberFormat="1" applyFont="1" applyBorder="1"/>
    <xf numFmtId="3" fontId="5" fillId="0" borderId="0" xfId="0" applyNumberFormat="1" applyFont="1" applyAlignment="1">
      <alignment horizontal="center"/>
    </xf>
    <xf numFmtId="3" fontId="7" fillId="0" borderId="2" xfId="0" applyNumberFormat="1" applyFont="1" applyBorder="1" applyAlignment="1">
      <alignment horizontal="center"/>
    </xf>
    <xf numFmtId="3" fontId="5" fillId="0" borderId="3" xfId="0" applyNumberFormat="1" applyFont="1" applyBorder="1" applyAlignment="1">
      <alignment horizontal="center"/>
    </xf>
    <xf numFmtId="3" fontId="5" fillId="0" borderId="0" xfId="0" applyNumberFormat="1" applyFont="1" applyBorder="1"/>
    <xf numFmtId="0" fontId="11" fillId="0" borderId="0" xfId="0" applyFont="1"/>
    <xf numFmtId="3" fontId="4" fillId="0" borderId="0" xfId="0" applyNumberFormat="1" applyFont="1"/>
    <xf numFmtId="3" fontId="6" fillId="0" borderId="0" xfId="0" applyNumberFormat="1" applyFont="1"/>
    <xf numFmtId="3" fontId="7" fillId="0" borderId="0" xfId="0" applyNumberFormat="1" applyFont="1"/>
    <xf numFmtId="3" fontId="5" fillId="0" borderId="1" xfId="0" applyNumberFormat="1" applyFont="1" applyBorder="1" applyAlignment="1">
      <alignment horizontal="right" vertical="center" wrapText="1"/>
    </xf>
    <xf numFmtId="3" fontId="10" fillId="0" borderId="0" xfId="0" applyNumberFormat="1" applyFont="1"/>
    <xf numFmtId="3" fontId="7" fillId="0" borderId="0" xfId="0" applyNumberFormat="1" applyFont="1" applyBorder="1" applyAlignment="1">
      <alignment horizontal="center"/>
    </xf>
    <xf numFmtId="3" fontId="5" fillId="0" borderId="1" xfId="0" applyNumberFormat="1" applyFont="1" applyBorder="1" applyAlignment="1">
      <alignment horizontal="center" vertical="center" wrapText="1"/>
    </xf>
    <xf numFmtId="3" fontId="9" fillId="0" borderId="0" xfId="0" applyNumberFormat="1" applyFont="1" applyBorder="1" applyAlignment="1">
      <alignment horizontal="center"/>
    </xf>
    <xf numFmtId="3" fontId="7" fillId="0" borderId="0" xfId="0" applyNumberFormat="1" applyFont="1" applyBorder="1" applyAlignment="1">
      <alignment horizontal="left"/>
    </xf>
    <xf numFmtId="3" fontId="5" fillId="0" borderId="2" xfId="0" applyNumberFormat="1" applyFont="1" applyBorder="1" applyAlignment="1">
      <alignment horizontal="center"/>
    </xf>
    <xf numFmtId="3" fontId="5" fillId="0" borderId="0" xfId="0" applyNumberFormat="1" applyFont="1" applyBorder="1" applyAlignment="1">
      <alignment horizontal="center"/>
    </xf>
    <xf numFmtId="3" fontId="5" fillId="0" borderId="0" xfId="0" applyNumberFormat="1" applyFont="1" applyFill="1"/>
    <xf numFmtId="167" fontId="5" fillId="0" borderId="0" xfId="3" applyNumberFormat="1" applyFont="1" applyFill="1"/>
    <xf numFmtId="3" fontId="7" fillId="0" borderId="2" xfId="0" applyNumberFormat="1" applyFont="1" applyFill="1" applyBorder="1"/>
    <xf numFmtId="167" fontId="7" fillId="0" borderId="2" xfId="3" applyNumberFormat="1" applyFont="1" applyFill="1" applyBorder="1"/>
    <xf numFmtId="3" fontId="5" fillId="0" borderId="3" xfId="0" applyNumberFormat="1" applyFont="1" applyFill="1" applyBorder="1"/>
    <xf numFmtId="167" fontId="5" fillId="0" borderId="3" xfId="0" applyNumberFormat="1" applyFont="1" applyFill="1" applyBorder="1"/>
    <xf numFmtId="167" fontId="5" fillId="0" borderId="3" xfId="3" applyNumberFormat="1" applyFont="1" applyFill="1" applyBorder="1"/>
    <xf numFmtId="0" fontId="12" fillId="0" borderId="0" xfId="0" applyFont="1" applyAlignment="1">
      <alignment horizontal="center"/>
    </xf>
    <xf numFmtId="0" fontId="12" fillId="0" borderId="0" xfId="0" applyFont="1"/>
    <xf numFmtId="0" fontId="13" fillId="0" borderId="0" xfId="0" applyFont="1"/>
    <xf numFmtId="0" fontId="5" fillId="0" borderId="4" xfId="0" applyFont="1" applyBorder="1" applyAlignment="1">
      <alignment horizontal="right" vertical="center" wrapText="1"/>
    </xf>
    <xf numFmtId="167" fontId="5" fillId="0" borderId="0" xfId="0" applyNumberFormat="1" applyFont="1"/>
    <xf numFmtId="0" fontId="5" fillId="0" borderId="5" xfId="0" applyFont="1" applyBorder="1" applyAlignment="1">
      <alignment horizontal="right" vertical="center" wrapText="1"/>
    </xf>
    <xf numFmtId="164" fontId="5" fillId="0" borderId="0" xfId="0" applyNumberFormat="1" applyFont="1" applyBorder="1" applyAlignment="1">
      <alignment horizontal="right" vertical="center" wrapText="1"/>
    </xf>
    <xf numFmtId="0" fontId="5" fillId="0" borderId="0" xfId="0" applyFont="1" applyAlignment="1">
      <alignment horizontal="left" wrapText="1" indent="1"/>
    </xf>
    <xf numFmtId="0" fontId="5" fillId="0" borderId="5" xfId="0" applyFont="1" applyBorder="1" applyAlignment="1">
      <alignment horizontal="center" vertical="center" wrapText="1"/>
    </xf>
    <xf numFmtId="165" fontId="5" fillId="0" borderId="0" xfId="0" applyNumberFormat="1" applyFont="1"/>
    <xf numFmtId="0" fontId="5" fillId="0" borderId="0" xfId="0" applyFont="1" applyBorder="1"/>
    <xf numFmtId="0" fontId="17" fillId="0" borderId="5" xfId="0" applyFont="1" applyBorder="1" applyAlignment="1">
      <alignment horizontal="left" vertical="center" wrapText="1"/>
    </xf>
    <xf numFmtId="0" fontId="6" fillId="0" borderId="5" xfId="0" applyFont="1" applyBorder="1"/>
    <xf numFmtId="3" fontId="6" fillId="0" borderId="5" xfId="0" applyNumberFormat="1" applyFont="1" applyBorder="1"/>
    <xf numFmtId="0" fontId="5" fillId="0" borderId="5" xfId="0" applyFont="1" applyBorder="1" applyAlignment="1">
      <alignment horizontal="left" vertical="center" wrapText="1"/>
    </xf>
    <xf numFmtId="0" fontId="5" fillId="0" borderId="5" xfId="0" applyFont="1" applyBorder="1"/>
    <xf numFmtId="0" fontId="5" fillId="0" borderId="2" xfId="0" applyFont="1" applyBorder="1" applyAlignment="1">
      <alignment horizontal="center" vertical="center" wrapText="1"/>
    </xf>
    <xf numFmtId="165" fontId="5" fillId="0" borderId="6" xfId="0" applyNumberFormat="1" applyFont="1" applyBorder="1"/>
    <xf numFmtId="0" fontId="5" fillId="0" borderId="0" xfId="0" quotePrefix="1" applyFont="1" applyAlignment="1">
      <alignment horizontal="left"/>
    </xf>
    <xf numFmtId="9" fontId="5" fillId="0" borderId="6" xfId="3" applyFont="1" applyBorder="1"/>
    <xf numFmtId="165" fontId="5" fillId="0" borderId="0" xfId="0" applyNumberFormat="1" applyFont="1" applyBorder="1" applyAlignment="1">
      <alignment horizontal="right" vertical="center" wrapText="1"/>
    </xf>
    <xf numFmtId="0" fontId="18" fillId="2" borderId="0" xfId="0" applyFont="1" applyFill="1"/>
    <xf numFmtId="0" fontId="16" fillId="2" borderId="0" xfId="0" applyFont="1" applyFill="1"/>
    <xf numFmtId="0" fontId="18" fillId="2" borderId="0" xfId="0" applyFont="1" applyFill="1" applyBorder="1"/>
    <xf numFmtId="0" fontId="18" fillId="2" borderId="0" xfId="0" applyFont="1" applyFill="1" applyBorder="1" applyAlignment="1">
      <alignment horizontal="center"/>
    </xf>
    <xf numFmtId="0" fontId="19" fillId="0" borderId="0" xfId="0" applyFont="1" applyAlignment="1">
      <alignment vertical="center"/>
    </xf>
    <xf numFmtId="0" fontId="0" fillId="0" borderId="0" xfId="0" applyAlignment="1">
      <alignment vertical="center"/>
    </xf>
    <xf numFmtId="0" fontId="15" fillId="0" borderId="0" xfId="0" applyFont="1" applyAlignment="1">
      <alignment vertical="center"/>
    </xf>
    <xf numFmtId="0" fontId="15" fillId="0" borderId="0" xfId="0" applyFont="1"/>
    <xf numFmtId="0" fontId="16" fillId="0" borderId="0" xfId="0" applyFont="1"/>
    <xf numFmtId="2" fontId="0" fillId="0" borderId="0" xfId="0" applyNumberFormat="1" applyAlignment="1">
      <alignment horizontal="right"/>
    </xf>
    <xf numFmtId="166" fontId="0" fillId="0" borderId="0" xfId="0" applyNumberFormat="1" applyAlignment="1">
      <alignment horizontal="right"/>
    </xf>
    <xf numFmtId="0" fontId="20" fillId="0" borderId="0" xfId="0" applyFont="1"/>
    <xf numFmtId="0" fontId="21" fillId="2" borderId="0" xfId="0" applyFont="1" applyFill="1"/>
    <xf numFmtId="0" fontId="5" fillId="3" borderId="7" xfId="0" applyFont="1" applyFill="1" applyBorder="1"/>
    <xf numFmtId="0" fontId="5" fillId="3" borderId="8" xfId="0" applyFont="1" applyFill="1" applyBorder="1" applyAlignment="1">
      <alignment horizontal="center"/>
    </xf>
    <xf numFmtId="0" fontId="5" fillId="3" borderId="9" xfId="0" applyFont="1" applyFill="1" applyBorder="1" applyAlignment="1">
      <alignment horizontal="center"/>
    </xf>
    <xf numFmtId="0" fontId="5" fillId="3" borderId="0" xfId="0" applyFont="1" applyFill="1" applyBorder="1"/>
    <xf numFmtId="0" fontId="5" fillId="3" borderId="10" xfId="0" applyFont="1" applyFill="1" applyBorder="1"/>
    <xf numFmtId="0" fontId="5" fillId="3" borderId="11" xfId="0" applyFont="1" applyFill="1" applyBorder="1"/>
    <xf numFmtId="3" fontId="5" fillId="3" borderId="0" xfId="0" applyNumberFormat="1" applyFont="1" applyFill="1" applyBorder="1"/>
    <xf numFmtId="0" fontId="5" fillId="3" borderId="12" xfId="0" applyFont="1" applyFill="1" applyBorder="1"/>
    <xf numFmtId="0" fontId="5" fillId="3" borderId="13" xfId="0" applyFont="1" applyFill="1" applyBorder="1"/>
    <xf numFmtId="3" fontId="5" fillId="3" borderId="13" xfId="0" applyNumberFormat="1" applyFont="1" applyFill="1" applyBorder="1"/>
    <xf numFmtId="0" fontId="5" fillId="3" borderId="14" xfId="0" applyFont="1" applyFill="1" applyBorder="1"/>
    <xf numFmtId="0" fontId="14" fillId="2" borderId="0" xfId="0" applyFont="1" applyFill="1" applyAlignment="1">
      <alignment horizontal="left" vertical="top" wrapText="1"/>
    </xf>
    <xf numFmtId="0" fontId="0" fillId="2" borderId="0" xfId="0" applyFill="1"/>
    <xf numFmtId="0" fontId="15" fillId="2" borderId="0" xfId="0" applyFont="1" applyFill="1" applyAlignment="1">
      <alignment horizontal="left" vertical="top" wrapText="1"/>
    </xf>
    <xf numFmtId="0" fontId="0" fillId="2" borderId="0" xfId="0" applyFill="1" applyAlignment="1">
      <alignment horizontal="left" vertical="top" wrapText="1"/>
    </xf>
    <xf numFmtId="0" fontId="0" fillId="2" borderId="0" xfId="0" applyFill="1" applyAlignment="1">
      <alignment horizontal="left" vertical="top"/>
    </xf>
    <xf numFmtId="0" fontId="23" fillId="2" borderId="15" xfId="0" applyFont="1" applyFill="1" applyBorder="1" applyAlignment="1">
      <alignment horizontal="left"/>
    </xf>
    <xf numFmtId="0" fontId="25" fillId="2" borderId="0" xfId="0" applyFont="1" applyFill="1" applyBorder="1"/>
    <xf numFmtId="0" fontId="24" fillId="2" borderId="0" xfId="0" applyFont="1" applyFill="1" applyBorder="1"/>
    <xf numFmtId="0" fontId="26" fillId="2" borderId="16" xfId="0" applyFont="1" applyFill="1" applyBorder="1" applyAlignment="1"/>
    <xf numFmtId="0" fontId="26" fillId="2" borderId="17" xfId="0" applyFont="1" applyFill="1" applyBorder="1" applyAlignment="1"/>
    <xf numFmtId="0" fontId="24" fillId="2" borderId="0" xfId="0" applyFont="1" applyFill="1" applyBorder="1" applyAlignment="1">
      <alignment horizontal="left" indent="1"/>
    </xf>
    <xf numFmtId="0" fontId="24" fillId="2" borderId="18" xfId="0" applyFont="1" applyFill="1" applyBorder="1" applyAlignment="1">
      <alignment horizontal="center"/>
    </xf>
    <xf numFmtId="0" fontId="24" fillId="2" borderId="15" xfId="0" applyFont="1" applyFill="1" applyBorder="1" applyAlignment="1">
      <alignment horizontal="center"/>
    </xf>
    <xf numFmtId="0" fontId="24" fillId="2" borderId="0" xfId="0" applyFont="1" applyFill="1" applyBorder="1" applyAlignment="1">
      <alignment horizontal="center"/>
    </xf>
    <xf numFmtId="0" fontId="24" fillId="2" borderId="19" xfId="0" applyFont="1" applyFill="1" applyBorder="1" applyAlignment="1">
      <alignment horizontal="center"/>
    </xf>
    <xf numFmtId="0" fontId="24" fillId="2" borderId="0" xfId="0" applyFont="1" applyFill="1"/>
    <xf numFmtId="0" fontId="24" fillId="2" borderId="20" xfId="0" applyFont="1" applyFill="1" applyBorder="1" applyAlignment="1">
      <alignment horizontal="center"/>
    </xf>
    <xf numFmtId="0" fontId="28" fillId="2" borderId="0" xfId="0" applyFont="1" applyFill="1" applyBorder="1" applyAlignment="1">
      <alignment horizontal="center"/>
    </xf>
    <xf numFmtId="0" fontId="28" fillId="2" borderId="17" xfId="0" applyFont="1" applyFill="1" applyBorder="1" applyAlignment="1">
      <alignment horizontal="center"/>
    </xf>
    <xf numFmtId="0" fontId="28" fillId="2" borderId="15" xfId="0" applyFont="1" applyFill="1" applyBorder="1" applyAlignment="1">
      <alignment horizontal="center"/>
    </xf>
    <xf numFmtId="0" fontId="26" fillId="2" borderId="0" xfId="0" applyFont="1" applyFill="1" applyBorder="1" applyAlignment="1">
      <alignment horizontal="center"/>
    </xf>
    <xf numFmtId="0" fontId="24" fillId="2" borderId="17" xfId="0" applyFont="1" applyFill="1" applyBorder="1" applyAlignment="1">
      <alignment horizontal="center"/>
    </xf>
    <xf numFmtId="0" fontId="30" fillId="0" borderId="0" xfId="0" applyFont="1" applyAlignment="1">
      <alignment vertical="center"/>
    </xf>
    <xf numFmtId="1" fontId="0" fillId="0" borderId="0" xfId="0" applyNumberFormat="1" applyAlignment="1">
      <alignment horizontal="right"/>
    </xf>
    <xf numFmtId="0" fontId="20" fillId="0" borderId="0" xfId="0" applyFont="1" applyAlignment="1">
      <alignment horizontal="right"/>
    </xf>
    <xf numFmtId="0" fontId="16" fillId="2" borderId="0" xfId="0" applyFont="1" applyFill="1" applyAlignment="1">
      <alignment horizontal="center"/>
    </xf>
    <xf numFmtId="0" fontId="23" fillId="2" borderId="15" xfId="0" applyFont="1" applyFill="1" applyBorder="1" applyAlignment="1">
      <alignment horizontal="center"/>
    </xf>
    <xf numFmtId="0" fontId="22" fillId="2" borderId="0" xfId="0" applyFont="1" applyFill="1" applyBorder="1" applyAlignment="1">
      <alignment horizontal="center"/>
    </xf>
    <xf numFmtId="0" fontId="33" fillId="2" borderId="0" xfId="0" applyFont="1" applyFill="1"/>
    <xf numFmtId="0" fontId="34" fillId="0" borderId="4" xfId="0" applyFont="1" applyBorder="1" applyAlignment="1">
      <alignment vertical="center" wrapText="1"/>
    </xf>
    <xf numFmtId="165" fontId="5" fillId="0" borderId="6" xfId="0" applyNumberFormat="1" applyFont="1" applyBorder="1" applyAlignment="1"/>
    <xf numFmtId="0" fontId="16" fillId="0" borderId="0" xfId="0" applyFont="1" applyBorder="1"/>
    <xf numFmtId="166" fontId="30" fillId="0" borderId="0" xfId="0" applyNumberFormat="1" applyFont="1" applyAlignment="1">
      <alignment horizontal="left"/>
    </xf>
    <xf numFmtId="166" fontId="0" fillId="0" borderId="0" xfId="0" applyNumberFormat="1"/>
    <xf numFmtId="0" fontId="24" fillId="2" borderId="17" xfId="0" applyFont="1" applyFill="1" applyBorder="1" applyAlignment="1" applyProtection="1">
      <alignment horizontal="center"/>
      <protection locked="0"/>
    </xf>
    <xf numFmtId="0" fontId="24" fillId="2" borderId="15" xfId="0" applyFont="1" applyFill="1" applyBorder="1" applyAlignment="1" applyProtection="1">
      <alignment horizontal="center"/>
      <protection locked="0"/>
    </xf>
    <xf numFmtId="0" fontId="24" fillId="2" borderId="15" xfId="0" applyFont="1" applyFill="1" applyBorder="1" applyAlignment="1" applyProtection="1">
      <alignment horizontal="left"/>
      <protection locked="0"/>
    </xf>
    <xf numFmtId="0" fontId="5" fillId="0" borderId="6" xfId="0" applyFont="1" applyBorder="1" applyAlignment="1">
      <alignment horizontal="left" wrapText="1" indent="1"/>
    </xf>
    <xf numFmtId="3" fontId="5" fillId="0" borderId="0" xfId="0" applyNumberFormat="1" applyFont="1" applyAlignment="1">
      <alignment horizontal="left"/>
    </xf>
    <xf numFmtId="3" fontId="7" fillId="0" borderId="2" xfId="0" applyNumberFormat="1" applyFont="1" applyBorder="1" applyAlignment="1">
      <alignment horizontal="left"/>
    </xf>
    <xf numFmtId="3" fontId="5" fillId="0" borderId="3" xfId="0" applyNumberFormat="1" applyFont="1" applyBorder="1" applyAlignment="1">
      <alignment horizontal="left"/>
    </xf>
    <xf numFmtId="3" fontId="7" fillId="0" borderId="2" xfId="0" applyNumberFormat="1" applyFont="1" applyBorder="1" applyAlignment="1">
      <alignment horizontal="right"/>
    </xf>
    <xf numFmtId="167" fontId="7" fillId="0" borderId="2" xfId="3" applyNumberFormat="1" applyFont="1" applyBorder="1" applyAlignment="1">
      <alignment horizontal="right"/>
    </xf>
    <xf numFmtId="0" fontId="11" fillId="0" borderId="0" xfId="0" applyFont="1" applyAlignment="1">
      <alignment horizontal="left"/>
    </xf>
    <xf numFmtId="0" fontId="10" fillId="0" borderId="0" xfId="0" applyFont="1" applyAlignment="1">
      <alignment horizontal="left"/>
    </xf>
    <xf numFmtId="3" fontId="10" fillId="0" borderId="0" xfId="0" applyNumberFormat="1" applyFont="1" applyAlignment="1">
      <alignment horizontal="left"/>
    </xf>
    <xf numFmtId="3" fontId="35" fillId="0" borderId="0" xfId="0" applyNumberFormat="1" applyFont="1" applyAlignment="1">
      <alignment horizontal="left"/>
    </xf>
    <xf numFmtId="0" fontId="35" fillId="0" borderId="0" xfId="0" applyFont="1" applyAlignment="1">
      <alignment horizontal="left"/>
    </xf>
    <xf numFmtId="0" fontId="5" fillId="0" borderId="2" xfId="0" applyFont="1" applyBorder="1" applyAlignment="1">
      <alignment wrapText="1"/>
    </xf>
    <xf numFmtId="0" fontId="35" fillId="0" borderId="3" xfId="0" applyFont="1" applyBorder="1" applyAlignment="1">
      <alignment horizontal="center"/>
    </xf>
    <xf numFmtId="0" fontId="35" fillId="0" borderId="2" xfId="0" applyFont="1" applyBorder="1" applyAlignment="1">
      <alignment horizontal="center" wrapText="1"/>
    </xf>
    <xf numFmtId="0" fontId="35" fillId="0" borderId="6" xfId="0" applyFont="1" applyBorder="1" applyAlignment="1">
      <alignment horizontal="center" wrapText="1"/>
    </xf>
    <xf numFmtId="3" fontId="35" fillId="0" borderId="0" xfId="0" applyNumberFormat="1" applyFont="1" applyAlignment="1">
      <alignment horizontal="center"/>
    </xf>
    <xf numFmtId="3" fontId="35" fillId="0" borderId="3" xfId="0" applyNumberFormat="1" applyFont="1" applyBorder="1" applyAlignment="1">
      <alignment horizontal="center"/>
    </xf>
    <xf numFmtId="0" fontId="36" fillId="0" borderId="0" xfId="0" applyFont="1"/>
    <xf numFmtId="0" fontId="36" fillId="0" borderId="0" xfId="0" applyFont="1" applyAlignment="1">
      <alignment horizontal="center"/>
    </xf>
    <xf numFmtId="165" fontId="5" fillId="0" borderId="0" xfId="0" applyNumberFormat="1" applyFont="1" applyBorder="1" applyAlignment="1">
      <alignment vertical="center"/>
    </xf>
    <xf numFmtId="0" fontId="5" fillId="0" borderId="6" xfId="0" applyFont="1" applyBorder="1" applyAlignment="1">
      <alignment horizontal="left" indent="1"/>
    </xf>
    <xf numFmtId="0" fontId="5" fillId="0" borderId="2" xfId="0" applyFont="1" applyBorder="1" applyAlignment="1">
      <alignment horizontal="left" indent="1"/>
    </xf>
    <xf numFmtId="166" fontId="5" fillId="0" borderId="0" xfId="0" applyNumberFormat="1" applyFont="1" applyAlignment="1">
      <alignment horizontal="right"/>
    </xf>
    <xf numFmtId="1" fontId="5" fillId="0" borderId="0" xfId="0" applyNumberFormat="1" applyFont="1" applyAlignment="1">
      <alignment horizontal="right"/>
    </xf>
    <xf numFmtId="165" fontId="5" fillId="0" borderId="0" xfId="0" applyNumberFormat="1" applyFont="1" applyBorder="1" applyAlignment="1">
      <alignment horizontal="left"/>
    </xf>
    <xf numFmtId="0" fontId="30" fillId="0" borderId="0" xfId="0" applyFont="1"/>
    <xf numFmtId="0" fontId="35" fillId="0" borderId="0" xfId="0" applyFont="1"/>
    <xf numFmtId="166" fontId="5" fillId="0" borderId="0" xfId="0" applyNumberFormat="1" applyFont="1"/>
    <xf numFmtId="166" fontId="5" fillId="0" borderId="0" xfId="0" applyNumberFormat="1" applyFont="1" applyBorder="1"/>
    <xf numFmtId="0" fontId="27" fillId="2" borderId="15" xfId="0" applyFont="1" applyFill="1" applyBorder="1" applyAlignment="1" applyProtection="1">
      <alignment horizontal="center"/>
      <protection locked="0"/>
    </xf>
    <xf numFmtId="0" fontId="7" fillId="0" borderId="0" xfId="0" applyFont="1" applyAlignment="1">
      <alignment horizontal="left"/>
    </xf>
    <xf numFmtId="3" fontId="20" fillId="0" borderId="0" xfId="0" applyNumberFormat="1" applyFont="1" applyBorder="1" applyAlignment="1">
      <alignment horizontal="right"/>
    </xf>
    <xf numFmtId="165" fontId="20" fillId="0" borderId="0" xfId="0" applyNumberFormat="1" applyFont="1" applyBorder="1" applyAlignment="1">
      <alignment horizontal="right"/>
    </xf>
    <xf numFmtId="0" fontId="37" fillId="0" borderId="0" xfId="0" applyFont="1"/>
    <xf numFmtId="166" fontId="12" fillId="0" borderId="0" xfId="0" applyNumberFormat="1" applyFont="1" applyAlignment="1">
      <alignment horizontal="right"/>
    </xf>
    <xf numFmtId="166" fontId="12" fillId="0" borderId="0" xfId="0" applyNumberFormat="1" applyFont="1" applyFill="1" applyAlignment="1">
      <alignment horizontal="right"/>
    </xf>
    <xf numFmtId="165" fontId="20" fillId="0" borderId="0" xfId="0" applyNumberFormat="1" applyFont="1" applyAlignment="1">
      <alignment horizontal="right"/>
    </xf>
    <xf numFmtId="0" fontId="25" fillId="2" borderId="0" xfId="0" applyFont="1" applyFill="1" applyBorder="1" applyAlignment="1">
      <alignment horizontal="center" wrapText="1"/>
    </xf>
    <xf numFmtId="0" fontId="25" fillId="2" borderId="0" xfId="0" applyFont="1" applyFill="1" applyBorder="1" applyAlignment="1">
      <alignment horizontal="center" vertical="top"/>
    </xf>
    <xf numFmtId="0" fontId="25" fillId="2" borderId="0" xfId="0" applyFont="1" applyFill="1" applyBorder="1" applyAlignment="1">
      <alignment horizontal="left" vertical="top"/>
    </xf>
    <xf numFmtId="0" fontId="25" fillId="2" borderId="0" xfId="0" applyFont="1" applyFill="1" applyBorder="1" applyAlignment="1">
      <alignment horizontal="center" vertical="top" wrapText="1"/>
    </xf>
    <xf numFmtId="165" fontId="20" fillId="0" borderId="0" xfId="0" applyNumberFormat="1" applyFont="1" applyBorder="1" applyAlignment="1">
      <alignment horizontal="left"/>
    </xf>
    <xf numFmtId="0" fontId="15" fillId="0" borderId="0" xfId="0" applyFont="1" applyAlignment="1">
      <alignment horizontal="left" vertical="top" wrapText="1"/>
    </xf>
    <xf numFmtId="0" fontId="38" fillId="0" borderId="0" xfId="0" applyFont="1" applyAlignment="1">
      <alignment horizontal="left" vertical="top" wrapText="1"/>
    </xf>
    <xf numFmtId="0" fontId="38" fillId="0" borderId="5" xfId="0" applyFont="1" applyBorder="1" applyAlignment="1">
      <alignment horizontal="left" vertical="top" wrapText="1"/>
    </xf>
    <xf numFmtId="0" fontId="29" fillId="2" borderId="21" xfId="0" applyFont="1" applyFill="1" applyBorder="1" applyAlignment="1" applyProtection="1">
      <protection locked="0"/>
    </xf>
    <xf numFmtId="0" fontId="40" fillId="2" borderId="0" xfId="0" applyFont="1" applyFill="1" applyBorder="1" applyAlignment="1">
      <alignment horizontal="left" indent="5"/>
    </xf>
    <xf numFmtId="0" fontId="1" fillId="2" borderId="15" xfId="0" applyNumberFormat="1" applyFont="1" applyFill="1" applyBorder="1" applyAlignment="1" applyProtection="1">
      <alignment horizontal="left" vertical="top"/>
      <protection locked="0"/>
    </xf>
    <xf numFmtId="0" fontId="1" fillId="0" borderId="0" xfId="0" applyFont="1"/>
    <xf numFmtId="0" fontId="3" fillId="0" borderId="0" xfId="2" applyAlignment="1" applyProtection="1"/>
    <xf numFmtId="49" fontId="0" fillId="0" borderId="0" xfId="0" applyNumberFormat="1"/>
    <xf numFmtId="49" fontId="16" fillId="0" borderId="0" xfId="0" applyNumberFormat="1" applyFont="1" applyAlignment="1">
      <alignment horizontal="right"/>
    </xf>
    <xf numFmtId="49" fontId="16" fillId="0" borderId="0" xfId="0" applyNumberFormat="1" applyFont="1" applyBorder="1" applyAlignment="1">
      <alignment horizontal="right"/>
    </xf>
    <xf numFmtId="49" fontId="5" fillId="0" borderId="0" xfId="0" applyNumberFormat="1" applyFont="1" applyAlignment="1">
      <alignment horizontal="right"/>
    </xf>
    <xf numFmtId="49" fontId="1" fillId="0" borderId="0" xfId="0" applyNumberFormat="1" applyFont="1" applyAlignment="1">
      <alignment horizontal="right"/>
    </xf>
    <xf numFmtId="169" fontId="12" fillId="0" borderId="0" xfId="0" applyNumberFormat="1" applyFont="1" applyAlignment="1">
      <alignment horizontal="right"/>
    </xf>
    <xf numFmtId="0" fontId="41" fillId="2" borderId="19" xfId="0" applyFont="1" applyFill="1" applyBorder="1" applyAlignment="1">
      <alignment horizontal="center"/>
    </xf>
    <xf numFmtId="166" fontId="5" fillId="0" borderId="0" xfId="0" applyNumberFormat="1" applyFont="1" applyFill="1" applyAlignment="1">
      <alignment horizontal="right"/>
    </xf>
    <xf numFmtId="166" fontId="5" fillId="0" borderId="0" xfId="0" applyNumberFormat="1" applyFont="1" applyFill="1" applyBorder="1"/>
    <xf numFmtId="0" fontId="5" fillId="0" borderId="0" xfId="0" applyFont="1" applyFill="1"/>
    <xf numFmtId="1" fontId="5" fillId="0" borderId="0" xfId="0" applyNumberFormat="1" applyFont="1" applyBorder="1"/>
    <xf numFmtId="0" fontId="0" fillId="0" borderId="0" xfId="0" applyFill="1"/>
    <xf numFmtId="0" fontId="39" fillId="0" borderId="0" xfId="0" applyFont="1" applyFill="1" applyAlignment="1">
      <alignment horizontal="left" vertical="center" wrapText="1"/>
    </xf>
    <xf numFmtId="0" fontId="44" fillId="0" borderId="0" xfId="4" applyFont="1"/>
    <xf numFmtId="0" fontId="43" fillId="0" borderId="0" xfId="4"/>
    <xf numFmtId="0" fontId="15" fillId="0" borderId="0" xfId="0" applyFont="1" applyAlignment="1">
      <alignment horizontal="center"/>
    </xf>
    <xf numFmtId="0" fontId="30" fillId="0" borderId="0" xfId="0" applyFont="1" applyAlignment="1">
      <alignment horizontal="center" vertical="center"/>
    </xf>
    <xf numFmtId="0" fontId="5" fillId="3" borderId="11" xfId="0" applyFont="1" applyFill="1" applyBorder="1" applyAlignment="1">
      <alignment horizontal="left" indent="1"/>
    </xf>
    <xf numFmtId="0" fontId="5" fillId="3" borderId="0" xfId="0" applyFont="1" applyFill="1" applyBorder="1" applyAlignment="1">
      <alignment horizontal="left" indent="1"/>
    </xf>
    <xf numFmtId="0" fontId="34" fillId="0" borderId="2" xfId="0" applyFont="1" applyBorder="1" applyAlignment="1">
      <alignment horizontal="left" vertical="center" wrapText="1"/>
    </xf>
    <xf numFmtId="0" fontId="5" fillId="0" borderId="0" xfId="0" applyFont="1" applyBorder="1" applyAlignment="1">
      <alignment horizontal="left" indent="1"/>
    </xf>
    <xf numFmtId="0" fontId="5" fillId="0" borderId="0" xfId="0" applyFont="1" applyBorder="1" applyAlignment="1">
      <alignment horizontal="left" vertical="center" wrapText="1" indent="2"/>
    </xf>
    <xf numFmtId="0" fontId="5" fillId="0" borderId="0" xfId="0" applyFont="1" applyBorder="1" applyAlignment="1">
      <alignment horizontal="left" vertical="center" wrapText="1" indent="3"/>
    </xf>
  </cellXfs>
  <cellStyles count="5">
    <cellStyle name="Euro" xfId="1"/>
    <cellStyle name="Hyperlink" xfId="2" builtinId="8"/>
    <cellStyle name="Normal" xfId="0" builtinId="0"/>
    <cellStyle name="Normal 2" xfId="4"/>
    <cellStyle name="Percent" xfId="3" builtinId="5"/>
  </cellStyles>
  <dxfs count="11">
    <dxf>
      <font>
        <condense val="0"/>
        <extend val="0"/>
        <color indexed="8"/>
      </font>
    </dxf>
    <dxf>
      <font>
        <condense val="0"/>
        <extend val="0"/>
        <color indexed="8"/>
      </font>
    </dxf>
    <dxf>
      <font>
        <condense val="0"/>
        <extend val="0"/>
        <color indexed="8"/>
      </font>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76200</xdr:colOff>
      <xdr:row>2</xdr:row>
      <xdr:rowOff>45720</xdr:rowOff>
    </xdr:from>
    <xdr:to>
      <xdr:col>3</xdr:col>
      <xdr:colOff>76200</xdr:colOff>
      <xdr:row>5</xdr:row>
      <xdr:rowOff>106680</xdr:rowOff>
    </xdr:to>
    <xdr:pic>
      <xdr:nvPicPr>
        <xdr:cNvPr id="2" name="Picture 1" descr="loc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5400" y="381000"/>
          <a:ext cx="60960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2</xdr:col>
      <xdr:colOff>7620</xdr:colOff>
      <xdr:row>4</xdr:row>
      <xdr:rowOff>7620</xdr:rowOff>
    </xdr:to>
    <xdr:pic>
      <xdr:nvPicPr>
        <xdr:cNvPr id="1378" name="Picture 2" descr="logobi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620"/>
          <a:ext cx="1280160" cy="922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539115</xdr:colOff>
      <xdr:row>1</xdr:row>
      <xdr:rowOff>409574</xdr:rowOff>
    </xdr:from>
    <xdr:to>
      <xdr:col>7</xdr:col>
      <xdr:colOff>729615</xdr:colOff>
      <xdr:row>5</xdr:row>
      <xdr:rowOff>125289</xdr:rowOff>
    </xdr:to>
    <xdr:sp macro="" textlink="">
      <xdr:nvSpPr>
        <xdr:cNvPr id="3" name="TextBox 2"/>
        <xdr:cNvSpPr txBox="1"/>
      </xdr:nvSpPr>
      <xdr:spPr>
        <a:xfrm>
          <a:off x="2839183" y="570766"/>
          <a:ext cx="4982307" cy="6169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solidFill>
                <a:srgbClr val="FF0000"/>
              </a:solidFill>
            </a:rPr>
            <a:t>Note</a:t>
          </a:r>
          <a:r>
            <a:rPr lang="en-GB" sz="1100" baseline="0">
              <a:solidFill>
                <a:srgbClr val="FF0000"/>
              </a:solidFill>
            </a:rPr>
            <a:t> that this tool is meant for </a:t>
          </a:r>
          <a:r>
            <a:rPr lang="en-GB" sz="1100" u="sng" baseline="0">
              <a:solidFill>
                <a:srgbClr val="FF0000"/>
              </a:solidFill>
            </a:rPr>
            <a:t>demonstration and teaching purposes</a:t>
          </a:r>
          <a:r>
            <a:rPr lang="en-GB" sz="1100" baseline="0">
              <a:solidFill>
                <a:srgbClr val="FF0000"/>
              </a:solidFill>
            </a:rPr>
            <a:t> while </a:t>
          </a:r>
        </a:p>
        <a:p>
          <a:pPr algn="ctr"/>
          <a:r>
            <a:rPr lang="en-GB" sz="1100" baseline="0">
              <a:solidFill>
                <a:srgbClr val="FF0000"/>
              </a:solidFill>
            </a:rPr>
            <a:t>proper statistical tools should be used for research and analysis (e.g. Stata, SPSS).</a:t>
          </a:r>
        </a:p>
        <a:p>
          <a:pPr algn="ctr"/>
          <a:r>
            <a:rPr lang="en-GB" sz="1100" i="1" baseline="0">
              <a:solidFill>
                <a:srgbClr val="FF0000"/>
              </a:solidFill>
            </a:rPr>
            <a:t>To handle large files (e.g. UK output) this tool must be re-saved in Excel 2007 format.</a:t>
          </a:r>
        </a:p>
      </xdr:txBody>
    </xdr:sp>
    <xdr:clientData/>
  </xdr:twoCellAnchor>
  <mc:AlternateContent xmlns:mc="http://schemas.openxmlformats.org/markup-compatibility/2006">
    <mc:Choice xmlns:a14="http://schemas.microsoft.com/office/drawing/2010/main" Requires="a14">
      <xdr:twoCellAnchor editAs="absolute">
        <xdr:from>
          <xdr:col>4</xdr:col>
          <xdr:colOff>2270760</xdr:colOff>
          <xdr:row>1</xdr:row>
          <xdr:rowOff>114300</xdr:rowOff>
        </xdr:from>
        <xdr:to>
          <xdr:col>6</xdr:col>
          <xdr:colOff>304800</xdr:colOff>
          <xdr:row>1</xdr:row>
          <xdr:rowOff>365760</xdr:rowOff>
        </xdr:to>
        <xdr:sp macro="" textlink="">
          <xdr:nvSpPr>
            <xdr:cNvPr id="1094" name="Button 70" hidden="1">
              <a:extLst>
                <a:ext uri="{63B3BB69-23CF-44E3-9099-C40C66FF867C}">
                  <a14:compatExt spid="_x0000_s10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441960</xdr:colOff>
          <xdr:row>1</xdr:row>
          <xdr:rowOff>114300</xdr:rowOff>
        </xdr:from>
        <xdr:to>
          <xdr:col>8</xdr:col>
          <xdr:colOff>15240</xdr:colOff>
          <xdr:row>1</xdr:row>
          <xdr:rowOff>365760</xdr:rowOff>
        </xdr:to>
        <xdr:sp macro="" textlink="">
          <xdr:nvSpPr>
            <xdr:cNvPr id="1103" name="Button 79" hidden="1">
              <a:extLst>
                <a:ext uri="{63B3BB69-23CF-44E3-9099-C40C66FF867C}">
                  <a14:compatExt spid="_x0000_s110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hyperlink" Target="http://epp.eurostat.ec.europa.eu/portal/page/portal/purchasing_power_parities/data/database"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D5"/>
  <sheetViews>
    <sheetView showGridLines="0" tabSelected="1" workbookViewId="0">
      <selection activeCell="C18" sqref="C18"/>
    </sheetView>
  </sheetViews>
  <sheetFormatPr defaultRowHeight="13.2" x14ac:dyDescent="0.25"/>
  <cols>
    <col min="1" max="16384" width="8.88671875" style="208"/>
  </cols>
  <sheetData>
    <row r="5" spans="4:4" ht="17.399999999999999" x14ac:dyDescent="0.3">
      <c r="D5" s="207" t="s">
        <v>647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132"/>
  <sheetViews>
    <sheetView zoomScaleNormal="100" workbookViewId="0">
      <pane ySplit="39" topLeftCell="A40" activePane="bottomLeft" state="frozen"/>
      <selection pane="bottomLeft" activeCell="M6" sqref="M6"/>
    </sheetView>
  </sheetViews>
  <sheetFormatPr defaultColWidth="9" defaultRowHeight="12.6" x14ac:dyDescent="0.25"/>
  <cols>
    <col min="1" max="1" width="9" style="86" customWidth="1"/>
    <col min="2" max="2" width="9.5546875" style="86" customWidth="1"/>
    <col min="3" max="3" width="16.109375" style="85" customWidth="1"/>
    <col min="4" max="4" width="14" style="85" customWidth="1"/>
    <col min="5" max="5" width="38.33203125" style="85" customWidth="1"/>
    <col min="6" max="6" width="8.88671875" style="134" bestFit="1" customWidth="1"/>
    <col min="7" max="7" width="10.6640625" style="134" bestFit="1" customWidth="1"/>
    <col min="8" max="8" width="11" style="134" bestFit="1" customWidth="1"/>
    <col min="9" max="16384" width="9" style="83"/>
  </cols>
  <sheetData>
    <row r="1" spans="1:8" s="84" customFormat="1" ht="13.2" x14ac:dyDescent="0.25">
      <c r="F1" s="132"/>
      <c r="G1" s="132"/>
      <c r="H1" s="132"/>
    </row>
    <row r="2" spans="1:8" s="84" customFormat="1" ht="33" customHeight="1" x14ac:dyDescent="0.4">
      <c r="C2" s="95" t="s">
        <v>320</v>
      </c>
      <c r="D2" s="95"/>
      <c r="F2" s="132"/>
      <c r="G2" s="132"/>
      <c r="H2" s="132"/>
    </row>
    <row r="3" spans="1:8" s="84" customFormat="1" ht="13.2" x14ac:dyDescent="0.25">
      <c r="C3" s="135" t="s">
        <v>649</v>
      </c>
      <c r="F3" s="132"/>
      <c r="G3" s="132"/>
      <c r="H3" s="132"/>
    </row>
    <row r="4" spans="1:8" s="84" customFormat="1" ht="13.2" x14ac:dyDescent="0.25">
      <c r="F4" s="132"/>
      <c r="G4" s="132"/>
      <c r="H4" s="132"/>
    </row>
    <row r="5" spans="1:8" s="84" customFormat="1" ht="13.2" x14ac:dyDescent="0.25">
      <c r="F5" s="132"/>
      <c r="G5" s="132"/>
      <c r="H5" s="132"/>
    </row>
    <row r="6" spans="1:8" s="114" customFormat="1" x14ac:dyDescent="0.2">
      <c r="A6" s="113" t="s">
        <v>321</v>
      </c>
      <c r="F6" s="120"/>
      <c r="G6" s="120"/>
      <c r="H6" s="120"/>
    </row>
    <row r="7" spans="1:8" s="114" customFormat="1" ht="13.2" x14ac:dyDescent="0.2">
      <c r="A7" s="190" t="s">
        <v>269</v>
      </c>
      <c r="B7" s="191" t="s">
        <v>648</v>
      </c>
      <c r="C7" s="115"/>
      <c r="D7" s="115"/>
      <c r="E7" s="115"/>
      <c r="F7" s="115"/>
      <c r="G7" s="115"/>
      <c r="H7" s="116"/>
    </row>
    <row r="8" spans="1:8" s="114" customFormat="1" x14ac:dyDescent="0.2">
      <c r="B8" s="189"/>
      <c r="F8" s="120"/>
      <c r="G8" s="120"/>
      <c r="H8" s="120"/>
    </row>
    <row r="9" spans="1:8" s="114" customFormat="1" x14ac:dyDescent="0.2">
      <c r="A9" s="113" t="s">
        <v>267</v>
      </c>
      <c r="F9" s="120"/>
      <c r="G9" s="120"/>
      <c r="H9" s="120"/>
    </row>
    <row r="10" spans="1:8" s="117" customFormat="1" ht="25.2" x14ac:dyDescent="0.2">
      <c r="B10" s="182" t="s">
        <v>268</v>
      </c>
      <c r="C10" s="182" t="s">
        <v>311</v>
      </c>
      <c r="D10" s="182" t="s">
        <v>310</v>
      </c>
      <c r="E10" s="183" t="s">
        <v>348</v>
      </c>
      <c r="F10" s="184" t="s">
        <v>303</v>
      </c>
      <c r="G10" s="181" t="s">
        <v>608</v>
      </c>
      <c r="H10" s="181" t="s">
        <v>607</v>
      </c>
    </row>
    <row r="11" spans="1:8" s="114" customFormat="1" hidden="1" x14ac:dyDescent="0.2">
      <c r="B11" s="118" t="s">
        <v>270</v>
      </c>
      <c r="C11" s="119"/>
      <c r="D11" s="119"/>
      <c r="E11" s="120"/>
      <c r="F11" s="120"/>
      <c r="G11" s="120"/>
      <c r="H11" s="120"/>
    </row>
    <row r="12" spans="1:8" s="114" customFormat="1" hidden="1" x14ac:dyDescent="0.2">
      <c r="B12" s="121" t="s">
        <v>271</v>
      </c>
      <c r="C12" s="119"/>
      <c r="D12" s="119"/>
      <c r="E12" s="120"/>
      <c r="F12" s="120"/>
      <c r="G12" s="120"/>
      <c r="H12" s="120"/>
    </row>
    <row r="13" spans="1:8" s="122" customFormat="1" hidden="1" x14ac:dyDescent="0.2">
      <c r="A13" s="120"/>
      <c r="B13" s="121" t="s">
        <v>272</v>
      </c>
      <c r="C13" s="119"/>
      <c r="D13" s="119"/>
      <c r="E13" s="120"/>
      <c r="F13" s="120"/>
      <c r="G13" s="120"/>
      <c r="H13" s="120"/>
    </row>
    <row r="14" spans="1:8" s="122" customFormat="1" hidden="1" x14ac:dyDescent="0.2">
      <c r="A14" s="120"/>
      <c r="B14" s="121" t="s">
        <v>273</v>
      </c>
      <c r="C14" s="119"/>
      <c r="D14" s="119"/>
      <c r="E14" s="120"/>
      <c r="F14" s="120"/>
      <c r="G14" s="120"/>
      <c r="H14" s="120"/>
    </row>
    <row r="15" spans="1:8" s="122" customFormat="1" hidden="1" x14ac:dyDescent="0.2">
      <c r="A15" s="120"/>
      <c r="B15" s="121" t="s">
        <v>274</v>
      </c>
      <c r="C15" s="119"/>
      <c r="D15" s="119"/>
      <c r="E15" s="120"/>
      <c r="F15" s="120"/>
      <c r="G15" s="120"/>
      <c r="H15" s="120"/>
    </row>
    <row r="16" spans="1:8" s="122" customFormat="1" hidden="1" x14ac:dyDescent="0.2">
      <c r="A16" s="120"/>
      <c r="B16" s="200" t="s">
        <v>631</v>
      </c>
      <c r="C16" s="119"/>
      <c r="D16" s="119"/>
      <c r="E16" s="120"/>
      <c r="F16" s="120"/>
      <c r="G16" s="120"/>
      <c r="H16" s="120"/>
    </row>
    <row r="17" spans="1:8" s="122" customFormat="1" hidden="1" x14ac:dyDescent="0.2">
      <c r="A17" s="120"/>
      <c r="B17" s="200" t="s">
        <v>632</v>
      </c>
      <c r="C17" s="119"/>
      <c r="D17" s="119"/>
      <c r="E17" s="120"/>
      <c r="F17" s="120"/>
      <c r="G17" s="120"/>
      <c r="H17" s="120"/>
    </row>
    <row r="18" spans="1:8" s="122" customFormat="1" hidden="1" x14ac:dyDescent="0.2">
      <c r="A18" s="120"/>
      <c r="B18" s="200" t="s">
        <v>633</v>
      </c>
      <c r="C18" s="119"/>
      <c r="D18" s="119"/>
      <c r="E18" s="120"/>
      <c r="F18" s="120"/>
      <c r="G18" s="120"/>
      <c r="H18" s="120"/>
    </row>
    <row r="19" spans="1:8" s="122" customFormat="1" hidden="1" x14ac:dyDescent="0.2">
      <c r="A19" s="120"/>
      <c r="B19" s="121" t="s">
        <v>275</v>
      </c>
      <c r="C19" s="119"/>
      <c r="D19" s="119"/>
      <c r="E19" s="120"/>
      <c r="F19" s="120"/>
      <c r="G19" s="120"/>
      <c r="H19" s="120"/>
    </row>
    <row r="20" spans="1:8" s="122" customFormat="1" hidden="1" x14ac:dyDescent="0.2">
      <c r="A20" s="120"/>
      <c r="B20" s="121" t="s">
        <v>276</v>
      </c>
      <c r="C20" s="119"/>
      <c r="D20" s="119"/>
      <c r="E20" s="120"/>
      <c r="F20" s="120"/>
      <c r="G20" s="120"/>
      <c r="H20" s="120"/>
    </row>
    <row r="21" spans="1:8" s="122" customFormat="1" hidden="1" x14ac:dyDescent="0.2">
      <c r="A21" s="120"/>
      <c r="B21" s="121" t="s">
        <v>277</v>
      </c>
      <c r="C21" s="119"/>
      <c r="D21" s="119"/>
      <c r="E21" s="120"/>
      <c r="F21" s="120"/>
      <c r="G21" s="120"/>
      <c r="H21" s="120"/>
    </row>
    <row r="22" spans="1:8" s="122" customFormat="1" hidden="1" x14ac:dyDescent="0.2">
      <c r="A22" s="120"/>
      <c r="B22" s="121" t="s">
        <v>278</v>
      </c>
      <c r="C22" s="119"/>
      <c r="D22" s="119"/>
      <c r="E22" s="120"/>
      <c r="F22" s="120"/>
      <c r="G22" s="120"/>
      <c r="H22" s="120"/>
    </row>
    <row r="23" spans="1:8" s="122" customFormat="1" hidden="1" x14ac:dyDescent="0.2">
      <c r="A23" s="120"/>
      <c r="B23" s="200" t="s">
        <v>634</v>
      </c>
      <c r="C23" s="119"/>
      <c r="D23" s="119"/>
      <c r="E23" s="120"/>
      <c r="F23" s="120"/>
      <c r="G23" s="120"/>
      <c r="H23" s="120"/>
    </row>
    <row r="24" spans="1:8" s="122" customFormat="1" hidden="1" x14ac:dyDescent="0.2">
      <c r="A24" s="120"/>
      <c r="B24" s="200" t="s">
        <v>635</v>
      </c>
      <c r="C24" s="119"/>
      <c r="D24" s="119"/>
      <c r="E24" s="120"/>
      <c r="F24" s="120"/>
      <c r="G24" s="120"/>
      <c r="H24" s="120"/>
    </row>
    <row r="25" spans="1:8" s="122" customFormat="1" hidden="1" x14ac:dyDescent="0.2">
      <c r="A25" s="120"/>
      <c r="B25" s="121" t="s">
        <v>279</v>
      </c>
      <c r="C25" s="119"/>
      <c r="D25" s="119"/>
      <c r="E25" s="120"/>
      <c r="F25" s="120"/>
      <c r="G25" s="120"/>
      <c r="H25" s="120"/>
    </row>
    <row r="26" spans="1:8" s="122" customFormat="1" hidden="1" x14ac:dyDescent="0.2">
      <c r="A26" s="120"/>
      <c r="B26" s="121" t="s">
        <v>299</v>
      </c>
      <c r="C26" s="119"/>
      <c r="D26" s="119"/>
      <c r="E26" s="120"/>
      <c r="F26" s="120"/>
      <c r="G26" s="120"/>
      <c r="H26" s="120"/>
    </row>
    <row r="27" spans="1:8" s="122" customFormat="1" hidden="1" x14ac:dyDescent="0.2">
      <c r="A27" s="120"/>
      <c r="B27" s="121" t="s">
        <v>300</v>
      </c>
      <c r="C27" s="119"/>
      <c r="D27" s="119"/>
      <c r="E27" s="120"/>
      <c r="F27" s="120"/>
      <c r="G27" s="120"/>
      <c r="H27" s="120"/>
    </row>
    <row r="28" spans="1:8" s="122" customFormat="1" hidden="1" x14ac:dyDescent="0.2">
      <c r="A28" s="120"/>
      <c r="B28" s="121" t="s">
        <v>301</v>
      </c>
      <c r="C28" s="119"/>
      <c r="D28" s="119"/>
      <c r="E28" s="120"/>
      <c r="F28" s="120"/>
      <c r="G28" s="120"/>
      <c r="H28" s="120"/>
    </row>
    <row r="29" spans="1:8" s="122" customFormat="1" hidden="1" x14ac:dyDescent="0.2">
      <c r="A29" s="120"/>
      <c r="B29" s="121" t="s">
        <v>302</v>
      </c>
      <c r="C29" s="119"/>
      <c r="D29" s="119"/>
      <c r="E29" s="120"/>
      <c r="F29" s="120"/>
      <c r="G29" s="120"/>
      <c r="H29" s="120"/>
    </row>
    <row r="30" spans="1:8" s="122" customFormat="1" hidden="1" x14ac:dyDescent="0.2">
      <c r="A30" s="120"/>
      <c r="B30" s="121" t="s">
        <v>636</v>
      </c>
      <c r="C30" s="119"/>
      <c r="D30" s="119"/>
      <c r="E30" s="120"/>
      <c r="F30" s="120"/>
      <c r="G30" s="120"/>
      <c r="H30" s="120"/>
    </row>
    <row r="31" spans="1:8" s="122" customFormat="1" hidden="1" x14ac:dyDescent="0.2">
      <c r="A31" s="120"/>
      <c r="B31" s="121" t="s">
        <v>637</v>
      </c>
      <c r="C31" s="119"/>
      <c r="D31" s="119"/>
      <c r="E31" s="120"/>
      <c r="F31" s="120"/>
      <c r="G31" s="120"/>
      <c r="H31" s="120"/>
    </row>
    <row r="32" spans="1:8" s="122" customFormat="1" hidden="1" x14ac:dyDescent="0.2">
      <c r="A32" s="120"/>
      <c r="B32" s="121" t="s">
        <v>638</v>
      </c>
      <c r="C32" s="119"/>
      <c r="D32" s="119"/>
      <c r="E32" s="120"/>
      <c r="F32" s="120"/>
      <c r="G32" s="120"/>
      <c r="H32" s="120"/>
    </row>
    <row r="33" spans="1:8" s="122" customFormat="1" hidden="1" x14ac:dyDescent="0.2">
      <c r="A33" s="120"/>
      <c r="B33" s="121" t="s">
        <v>639</v>
      </c>
      <c r="C33" s="119"/>
      <c r="D33" s="119"/>
      <c r="E33" s="120"/>
      <c r="F33" s="120"/>
      <c r="G33" s="120"/>
      <c r="H33" s="120"/>
    </row>
    <row r="34" spans="1:8" s="122" customFormat="1" hidden="1" x14ac:dyDescent="0.2">
      <c r="A34" s="120"/>
      <c r="B34" s="121" t="s">
        <v>640</v>
      </c>
      <c r="C34" s="119"/>
      <c r="D34" s="119"/>
      <c r="E34" s="120"/>
      <c r="F34" s="120"/>
      <c r="G34" s="120"/>
      <c r="H34" s="120"/>
    </row>
    <row r="35" spans="1:8" s="122" customFormat="1" hidden="1" x14ac:dyDescent="0.2">
      <c r="A35" s="120"/>
      <c r="B35" s="121" t="s">
        <v>641</v>
      </c>
      <c r="C35" s="119"/>
      <c r="D35" s="119"/>
      <c r="E35" s="120"/>
      <c r="F35" s="120"/>
      <c r="G35" s="120"/>
      <c r="H35" s="120"/>
    </row>
    <row r="36" spans="1:8" s="122" customFormat="1" hidden="1" x14ac:dyDescent="0.2">
      <c r="A36" s="120"/>
      <c r="B36" s="121" t="s">
        <v>642</v>
      </c>
      <c r="C36" s="119"/>
      <c r="D36" s="119"/>
      <c r="E36" s="120"/>
      <c r="F36" s="120"/>
      <c r="G36" s="120"/>
      <c r="H36" s="120"/>
    </row>
    <row r="37" spans="1:8" s="122" customFormat="1" hidden="1" x14ac:dyDescent="0.2">
      <c r="A37" s="120"/>
      <c r="B37" s="121" t="s">
        <v>643</v>
      </c>
      <c r="C37" s="123"/>
      <c r="D37" s="123"/>
      <c r="E37" s="120"/>
      <c r="F37" s="120"/>
      <c r="G37" s="120"/>
      <c r="H37" s="120"/>
    </row>
    <row r="38" spans="1:8" s="122" customFormat="1" hidden="1" x14ac:dyDescent="0.2">
      <c r="A38" s="120"/>
      <c r="B38" s="128" t="s">
        <v>298</v>
      </c>
      <c r="C38" s="123"/>
      <c r="D38" s="123"/>
      <c r="E38" s="120"/>
      <c r="F38" s="120"/>
      <c r="G38" s="120"/>
      <c r="H38" s="120"/>
    </row>
    <row r="39" spans="1:8" s="122" customFormat="1" x14ac:dyDescent="0.2">
      <c r="A39" s="124" t="s">
        <v>312</v>
      </c>
      <c r="B39" s="125" t="s">
        <v>328</v>
      </c>
      <c r="C39" s="126" t="s">
        <v>309</v>
      </c>
      <c r="D39" s="126">
        <v>2003</v>
      </c>
      <c r="E39" s="112" t="str">
        <f>B39&amp;"_"&amp;MID(C39,3,20)&amp;"_std.txt"</f>
        <v>lu_2003_std.txt</v>
      </c>
      <c r="F39" s="133" t="s">
        <v>304</v>
      </c>
      <c r="G39" s="133" t="s">
        <v>193</v>
      </c>
      <c r="H39" s="133" t="s">
        <v>193</v>
      </c>
    </row>
    <row r="40" spans="1:8" ht="13.2" x14ac:dyDescent="0.25">
      <c r="A40" s="127"/>
      <c r="B40" s="141"/>
      <c r="C40" s="142"/>
      <c r="D40" s="142"/>
      <c r="E40" s="143"/>
      <c r="F40" s="142"/>
      <c r="G40" s="142"/>
      <c r="H40" s="142"/>
    </row>
    <row r="41" spans="1:8" ht="13.2" x14ac:dyDescent="0.25">
      <c r="A41" s="127"/>
      <c r="B41" s="141"/>
      <c r="C41" s="142"/>
      <c r="D41" s="142"/>
      <c r="E41" s="143"/>
      <c r="F41" s="142"/>
      <c r="G41" s="142"/>
      <c r="H41" s="142"/>
    </row>
    <row r="42" spans="1:8" ht="13.2" x14ac:dyDescent="0.25">
      <c r="A42" s="127"/>
      <c r="B42" s="141"/>
      <c r="C42" s="142"/>
      <c r="D42" s="142"/>
      <c r="E42" s="143"/>
      <c r="F42" s="142"/>
      <c r="G42" s="142"/>
      <c r="H42" s="142"/>
    </row>
    <row r="43" spans="1:8" ht="13.2" x14ac:dyDescent="0.25">
      <c r="A43" s="127"/>
      <c r="B43" s="141"/>
      <c r="C43" s="142"/>
      <c r="D43" s="142"/>
      <c r="E43" s="143"/>
      <c r="F43" s="142"/>
      <c r="G43" s="142"/>
      <c r="H43" s="142"/>
    </row>
    <row r="44" spans="1:8" ht="13.2" x14ac:dyDescent="0.25">
      <c r="A44" s="127"/>
      <c r="B44" s="141"/>
      <c r="C44" s="142"/>
      <c r="D44" s="142"/>
      <c r="E44" s="143"/>
      <c r="F44" s="142"/>
      <c r="G44" s="142"/>
      <c r="H44" s="142"/>
    </row>
    <row r="45" spans="1:8" ht="13.2" x14ac:dyDescent="0.25">
      <c r="A45" s="127"/>
      <c r="B45" s="141"/>
      <c r="C45" s="142"/>
      <c r="D45" s="142"/>
      <c r="E45" s="143"/>
      <c r="F45" s="142"/>
      <c r="G45" s="142"/>
      <c r="H45" s="142"/>
    </row>
    <row r="46" spans="1:8" ht="13.2" x14ac:dyDescent="0.25">
      <c r="A46" s="127"/>
      <c r="B46" s="141"/>
      <c r="C46" s="142"/>
      <c r="D46" s="142"/>
      <c r="E46" s="143"/>
      <c r="F46" s="142"/>
      <c r="G46" s="142"/>
      <c r="H46" s="142"/>
    </row>
    <row r="47" spans="1:8" ht="13.2" x14ac:dyDescent="0.25">
      <c r="A47" s="127"/>
      <c r="B47" s="141"/>
      <c r="C47" s="142"/>
      <c r="D47" s="142"/>
      <c r="E47" s="143"/>
      <c r="F47" s="142"/>
      <c r="G47" s="142"/>
      <c r="H47" s="142"/>
    </row>
    <row r="48" spans="1:8" ht="13.2" x14ac:dyDescent="0.25">
      <c r="A48" s="127"/>
      <c r="B48" s="141"/>
      <c r="C48" s="142"/>
      <c r="D48" s="142"/>
      <c r="E48" s="143"/>
      <c r="F48" s="142"/>
      <c r="G48" s="142"/>
      <c r="H48" s="142"/>
    </row>
    <row r="49" spans="1:8" ht="13.2" x14ac:dyDescent="0.25">
      <c r="A49" s="127"/>
      <c r="B49" s="141"/>
      <c r="C49" s="142"/>
      <c r="D49" s="142"/>
      <c r="E49" s="143"/>
      <c r="F49" s="142"/>
      <c r="G49" s="142"/>
      <c r="H49" s="142"/>
    </row>
    <row r="50" spans="1:8" ht="13.2" x14ac:dyDescent="0.25">
      <c r="A50" s="127"/>
      <c r="B50" s="141"/>
      <c r="C50" s="142"/>
      <c r="D50" s="142"/>
      <c r="E50" s="143"/>
      <c r="F50" s="142"/>
      <c r="G50" s="142"/>
      <c r="H50" s="142"/>
    </row>
    <row r="51" spans="1:8" ht="13.2" x14ac:dyDescent="0.25">
      <c r="A51" s="127"/>
      <c r="B51" s="141"/>
      <c r="C51" s="142"/>
      <c r="D51" s="142"/>
      <c r="E51" s="143"/>
      <c r="F51" s="142"/>
      <c r="G51" s="142"/>
      <c r="H51" s="142"/>
    </row>
    <row r="52" spans="1:8" ht="13.2" x14ac:dyDescent="0.25">
      <c r="A52" s="127"/>
      <c r="B52" s="141"/>
      <c r="C52" s="142"/>
      <c r="D52" s="142"/>
      <c r="E52" s="143"/>
      <c r="F52" s="142"/>
      <c r="G52" s="142"/>
      <c r="H52" s="142"/>
    </row>
    <row r="53" spans="1:8" ht="13.2" x14ac:dyDescent="0.25">
      <c r="A53" s="127"/>
      <c r="B53" s="141"/>
      <c r="C53" s="142"/>
      <c r="D53" s="142"/>
      <c r="E53" s="143"/>
      <c r="F53" s="142"/>
      <c r="G53" s="142"/>
      <c r="H53" s="142"/>
    </row>
    <row r="54" spans="1:8" ht="13.2" x14ac:dyDescent="0.25">
      <c r="A54" s="127"/>
      <c r="B54" s="141"/>
      <c r="C54" s="142"/>
      <c r="D54" s="142"/>
      <c r="E54" s="143"/>
      <c r="F54" s="142"/>
      <c r="G54" s="142"/>
      <c r="H54" s="142"/>
    </row>
    <row r="55" spans="1:8" ht="13.2" x14ac:dyDescent="0.25">
      <c r="A55" s="127"/>
      <c r="B55" s="141"/>
      <c r="C55" s="142"/>
      <c r="D55" s="142"/>
      <c r="E55" s="143"/>
      <c r="F55" s="142"/>
      <c r="G55" s="142"/>
      <c r="H55" s="142"/>
    </row>
    <row r="56" spans="1:8" ht="13.2" x14ac:dyDescent="0.25">
      <c r="A56" s="127"/>
      <c r="B56" s="141"/>
      <c r="C56" s="142"/>
      <c r="D56" s="142"/>
      <c r="E56" s="143"/>
      <c r="F56" s="142"/>
      <c r="G56" s="142"/>
      <c r="H56" s="142"/>
    </row>
    <row r="57" spans="1:8" ht="13.2" x14ac:dyDescent="0.25">
      <c r="A57" s="127"/>
      <c r="B57" s="141"/>
      <c r="C57" s="142"/>
      <c r="D57" s="142"/>
      <c r="E57" s="143"/>
      <c r="F57" s="142"/>
      <c r="G57" s="173"/>
      <c r="H57" s="173"/>
    </row>
    <row r="58" spans="1:8" ht="13.2" x14ac:dyDescent="0.25">
      <c r="A58" s="127"/>
      <c r="B58" s="141"/>
      <c r="C58" s="142"/>
      <c r="D58" s="142"/>
      <c r="E58" s="143"/>
      <c r="F58" s="142"/>
      <c r="G58" s="173"/>
      <c r="H58" s="173"/>
    </row>
    <row r="59" spans="1:8" ht="13.2" x14ac:dyDescent="0.25">
      <c r="A59" s="127"/>
      <c r="B59" s="141"/>
      <c r="C59" s="142"/>
      <c r="D59" s="142"/>
      <c r="E59" s="143"/>
      <c r="F59" s="142"/>
      <c r="G59" s="173"/>
      <c r="H59" s="173"/>
    </row>
    <row r="60" spans="1:8" ht="13.2" x14ac:dyDescent="0.25">
      <c r="A60" s="127"/>
      <c r="B60" s="141"/>
      <c r="C60" s="142"/>
      <c r="D60" s="142"/>
      <c r="E60" s="143"/>
      <c r="F60" s="142"/>
      <c r="G60" s="173"/>
      <c r="H60" s="173"/>
    </row>
    <row r="61" spans="1:8" ht="13.2" x14ac:dyDescent="0.25">
      <c r="A61" s="127"/>
      <c r="B61" s="141"/>
      <c r="C61" s="142"/>
      <c r="D61" s="142"/>
      <c r="E61" s="143"/>
      <c r="F61" s="142"/>
      <c r="G61" s="173"/>
      <c r="H61" s="173"/>
    </row>
    <row r="62" spans="1:8" ht="13.2" x14ac:dyDescent="0.25">
      <c r="A62" s="127"/>
      <c r="B62" s="141"/>
      <c r="C62" s="142"/>
      <c r="D62" s="142"/>
      <c r="E62" s="143"/>
      <c r="F62" s="142"/>
      <c r="G62" s="142"/>
      <c r="H62" s="142"/>
    </row>
    <row r="63" spans="1:8" ht="13.2" x14ac:dyDescent="0.25">
      <c r="A63" s="127"/>
      <c r="B63" s="141"/>
      <c r="C63" s="142"/>
      <c r="D63" s="142"/>
      <c r="E63" s="143"/>
      <c r="F63" s="142"/>
      <c r="G63" s="142"/>
      <c r="H63" s="142"/>
    </row>
    <row r="64" spans="1:8" ht="13.2" x14ac:dyDescent="0.25">
      <c r="A64" s="127"/>
      <c r="B64" s="141"/>
      <c r="C64" s="142"/>
      <c r="D64" s="142"/>
      <c r="E64" s="143"/>
      <c r="F64" s="142"/>
      <c r="G64" s="142"/>
      <c r="H64" s="142"/>
    </row>
    <row r="65" spans="1:8" ht="13.2" x14ac:dyDescent="0.25">
      <c r="A65" s="127"/>
      <c r="B65" s="141"/>
      <c r="C65" s="142"/>
      <c r="D65" s="142"/>
      <c r="E65" s="143"/>
      <c r="F65" s="142"/>
      <c r="G65" s="142"/>
      <c r="H65" s="142"/>
    </row>
    <row r="66" spans="1:8" ht="13.2" x14ac:dyDescent="0.25">
      <c r="A66" s="127"/>
      <c r="B66" s="141"/>
      <c r="C66" s="142"/>
      <c r="D66" s="142"/>
      <c r="E66" s="143"/>
      <c r="F66" s="142"/>
      <c r="G66" s="142"/>
      <c r="H66" s="142"/>
    </row>
    <row r="67" spans="1:8" ht="13.2" x14ac:dyDescent="0.25">
      <c r="A67" s="127"/>
      <c r="B67" s="141"/>
      <c r="C67" s="142"/>
      <c r="D67" s="142"/>
      <c r="E67" s="143"/>
      <c r="F67" s="142"/>
      <c r="G67" s="142"/>
      <c r="H67" s="142"/>
    </row>
    <row r="68" spans="1:8" ht="13.2" x14ac:dyDescent="0.25">
      <c r="A68" s="127"/>
      <c r="B68" s="141"/>
      <c r="C68" s="142"/>
      <c r="D68" s="142"/>
      <c r="E68" s="143"/>
      <c r="F68" s="142"/>
      <c r="G68" s="142"/>
      <c r="H68" s="142"/>
    </row>
    <row r="69" spans="1:8" ht="13.2" x14ac:dyDescent="0.25">
      <c r="A69" s="127"/>
      <c r="B69" s="141"/>
      <c r="C69" s="142"/>
      <c r="D69" s="142"/>
      <c r="E69" s="143"/>
      <c r="F69" s="142"/>
      <c r="G69" s="142"/>
      <c r="H69" s="142"/>
    </row>
    <row r="70" spans="1:8" ht="13.2" x14ac:dyDescent="0.25">
      <c r="A70" s="127"/>
      <c r="B70" s="141"/>
      <c r="C70" s="142"/>
      <c r="D70" s="142"/>
      <c r="E70" s="143"/>
      <c r="F70" s="142"/>
      <c r="G70" s="142"/>
      <c r="H70" s="142"/>
    </row>
    <row r="71" spans="1:8" ht="13.2" x14ac:dyDescent="0.25">
      <c r="A71" s="127"/>
      <c r="B71" s="141"/>
      <c r="C71" s="142"/>
      <c r="D71" s="142"/>
      <c r="E71" s="143"/>
      <c r="F71" s="142"/>
      <c r="G71" s="142"/>
      <c r="H71" s="142"/>
    </row>
    <row r="72" spans="1:8" ht="13.2" x14ac:dyDescent="0.25">
      <c r="A72" s="127"/>
      <c r="B72" s="141"/>
      <c r="C72" s="142"/>
      <c r="D72" s="142"/>
      <c r="E72" s="143"/>
      <c r="F72" s="142"/>
      <c r="G72" s="142"/>
      <c r="H72" s="142"/>
    </row>
    <row r="73" spans="1:8" ht="13.2" x14ac:dyDescent="0.25">
      <c r="A73" s="127"/>
      <c r="B73" s="141"/>
      <c r="C73" s="142"/>
      <c r="D73" s="142"/>
      <c r="E73" s="143"/>
      <c r="F73" s="142"/>
      <c r="G73" s="142"/>
      <c r="H73" s="142"/>
    </row>
    <row r="74" spans="1:8" ht="13.2" x14ac:dyDescent="0.25">
      <c r="A74" s="127"/>
      <c r="B74" s="141"/>
      <c r="C74" s="142"/>
      <c r="D74" s="142"/>
      <c r="E74" s="143"/>
      <c r="F74" s="142"/>
      <c r="G74" s="142"/>
      <c r="H74" s="142"/>
    </row>
    <row r="75" spans="1:8" ht="13.2" x14ac:dyDescent="0.25">
      <c r="A75" s="127"/>
      <c r="B75" s="141"/>
      <c r="C75" s="142"/>
      <c r="D75" s="142"/>
      <c r="E75" s="143"/>
      <c r="F75" s="142"/>
      <c r="G75" s="142"/>
      <c r="H75" s="142"/>
    </row>
    <row r="76" spans="1:8" ht="13.2" x14ac:dyDescent="0.25">
      <c r="A76" s="127"/>
      <c r="B76" s="141"/>
      <c r="C76" s="142"/>
      <c r="D76" s="142"/>
      <c r="E76" s="143"/>
      <c r="F76" s="142"/>
      <c r="G76" s="142"/>
      <c r="H76" s="142"/>
    </row>
    <row r="77" spans="1:8" ht="13.2" x14ac:dyDescent="0.25">
      <c r="A77" s="127"/>
      <c r="B77" s="141"/>
      <c r="C77" s="142"/>
      <c r="D77" s="142"/>
      <c r="E77" s="143"/>
      <c r="F77" s="142"/>
      <c r="G77" s="142"/>
      <c r="H77" s="142"/>
    </row>
    <row r="78" spans="1:8" ht="13.2" x14ac:dyDescent="0.25">
      <c r="A78" s="127"/>
      <c r="B78" s="141"/>
      <c r="C78" s="142"/>
      <c r="D78" s="142"/>
      <c r="E78" s="143"/>
      <c r="F78" s="142"/>
      <c r="G78" s="142"/>
      <c r="H78" s="142"/>
    </row>
    <row r="79" spans="1:8" ht="13.2" x14ac:dyDescent="0.25">
      <c r="A79" s="127"/>
      <c r="B79" s="141"/>
      <c r="C79" s="142"/>
      <c r="D79" s="142"/>
      <c r="E79" s="143"/>
      <c r="F79" s="142"/>
      <c r="G79" s="142"/>
      <c r="H79" s="142"/>
    </row>
    <row r="80" spans="1:8" ht="13.2" x14ac:dyDescent="0.25">
      <c r="A80" s="127"/>
      <c r="B80" s="141"/>
      <c r="C80" s="142"/>
      <c r="D80" s="142"/>
      <c r="E80" s="143"/>
      <c r="F80" s="142"/>
      <c r="G80" s="142"/>
      <c r="H80" s="142"/>
    </row>
    <row r="81" spans="1:8" ht="13.2" x14ac:dyDescent="0.25">
      <c r="A81" s="127"/>
      <c r="B81" s="141"/>
      <c r="C81" s="142"/>
      <c r="D81" s="142"/>
      <c r="E81" s="143"/>
      <c r="F81" s="142"/>
      <c r="G81" s="142"/>
      <c r="H81" s="142"/>
    </row>
    <row r="82" spans="1:8" ht="13.2" x14ac:dyDescent="0.25">
      <c r="A82" s="127"/>
      <c r="B82" s="141"/>
      <c r="C82" s="142"/>
      <c r="D82" s="142"/>
      <c r="E82" s="143"/>
      <c r="F82" s="142"/>
      <c r="G82" s="142"/>
      <c r="H82" s="142"/>
    </row>
    <row r="83" spans="1:8" ht="13.2" x14ac:dyDescent="0.25">
      <c r="A83" s="127"/>
      <c r="B83" s="141"/>
      <c r="C83" s="142"/>
      <c r="D83" s="142"/>
      <c r="E83" s="143"/>
      <c r="F83" s="142"/>
      <c r="G83" s="142"/>
      <c r="H83" s="142"/>
    </row>
    <row r="84" spans="1:8" ht="13.2" x14ac:dyDescent="0.25">
      <c r="A84" s="127"/>
      <c r="B84" s="141"/>
      <c r="C84" s="142"/>
      <c r="D84" s="142"/>
      <c r="E84" s="143"/>
      <c r="F84" s="142"/>
      <c r="G84" s="142"/>
      <c r="H84" s="142"/>
    </row>
    <row r="85" spans="1:8" ht="13.2" x14ac:dyDescent="0.25">
      <c r="A85" s="127"/>
      <c r="B85" s="141"/>
      <c r="C85" s="142"/>
      <c r="D85" s="142"/>
      <c r="E85" s="143"/>
      <c r="F85" s="142"/>
      <c r="G85" s="142"/>
      <c r="H85" s="142"/>
    </row>
    <row r="86" spans="1:8" ht="13.2" x14ac:dyDescent="0.25">
      <c r="A86" s="127"/>
      <c r="B86" s="141"/>
      <c r="C86" s="142"/>
      <c r="D86" s="142"/>
      <c r="E86" s="143"/>
      <c r="F86" s="142"/>
      <c r="G86" s="142"/>
      <c r="H86" s="142"/>
    </row>
    <row r="87" spans="1:8" ht="13.2" x14ac:dyDescent="0.25">
      <c r="A87" s="127"/>
      <c r="B87" s="141"/>
      <c r="C87" s="142"/>
      <c r="D87" s="142"/>
      <c r="E87" s="143"/>
      <c r="F87" s="142"/>
      <c r="G87" s="142"/>
      <c r="H87" s="142"/>
    </row>
    <row r="88" spans="1:8" ht="13.2" x14ac:dyDescent="0.25">
      <c r="A88" s="127"/>
      <c r="B88" s="141"/>
      <c r="C88" s="142"/>
      <c r="D88" s="142"/>
      <c r="E88" s="143"/>
      <c r="F88" s="142"/>
      <c r="G88" s="142"/>
      <c r="H88" s="142"/>
    </row>
    <row r="89" spans="1:8" ht="13.2" x14ac:dyDescent="0.25">
      <c r="A89" s="127"/>
      <c r="B89" s="141"/>
      <c r="C89" s="142"/>
      <c r="D89" s="142"/>
      <c r="E89" s="143"/>
      <c r="F89" s="142"/>
      <c r="G89" s="142"/>
      <c r="H89" s="142"/>
    </row>
    <row r="90" spans="1:8" ht="13.2" x14ac:dyDescent="0.25">
      <c r="A90" s="127"/>
      <c r="B90" s="141"/>
      <c r="C90" s="142"/>
      <c r="D90" s="142"/>
      <c r="E90" s="143"/>
      <c r="F90" s="142"/>
      <c r="G90" s="142"/>
      <c r="H90" s="142"/>
    </row>
    <row r="91" spans="1:8" ht="13.2" x14ac:dyDescent="0.25">
      <c r="A91" s="127"/>
      <c r="B91" s="141"/>
      <c r="C91" s="142"/>
      <c r="D91" s="142"/>
      <c r="E91" s="143"/>
      <c r="F91" s="142"/>
      <c r="G91" s="142"/>
      <c r="H91" s="142"/>
    </row>
    <row r="92" spans="1:8" ht="13.2" x14ac:dyDescent="0.25">
      <c r="A92" s="127"/>
      <c r="B92" s="141"/>
      <c r="C92" s="142"/>
      <c r="D92" s="142"/>
      <c r="E92" s="143"/>
      <c r="F92" s="142"/>
      <c r="G92" s="142"/>
      <c r="H92" s="142"/>
    </row>
    <row r="93" spans="1:8" ht="13.2" x14ac:dyDescent="0.25">
      <c r="A93" s="127"/>
      <c r="B93" s="141"/>
      <c r="C93" s="142"/>
      <c r="D93" s="142"/>
      <c r="E93" s="143"/>
      <c r="F93" s="142"/>
      <c r="G93" s="142"/>
      <c r="H93" s="142"/>
    </row>
    <row r="94" spans="1:8" ht="13.2" x14ac:dyDescent="0.25">
      <c r="A94" s="127"/>
      <c r="B94" s="141"/>
      <c r="C94" s="142"/>
      <c r="D94" s="142"/>
      <c r="E94" s="143"/>
      <c r="F94" s="142"/>
      <c r="G94" s="142"/>
      <c r="H94" s="142"/>
    </row>
    <row r="95" spans="1:8" ht="13.2" x14ac:dyDescent="0.25">
      <c r="A95" s="127"/>
      <c r="B95" s="141"/>
      <c r="C95" s="142"/>
      <c r="D95" s="142"/>
      <c r="E95" s="143"/>
      <c r="F95" s="142"/>
      <c r="G95" s="142"/>
      <c r="H95" s="142"/>
    </row>
    <row r="96" spans="1:8" ht="13.2" x14ac:dyDescent="0.25">
      <c r="A96" s="127"/>
      <c r="B96" s="141"/>
      <c r="C96" s="142"/>
      <c r="D96" s="142"/>
      <c r="E96" s="143"/>
      <c r="F96" s="142"/>
      <c r="G96" s="142"/>
      <c r="H96" s="142"/>
    </row>
    <row r="97" spans="1:8" ht="13.2" x14ac:dyDescent="0.25">
      <c r="A97" s="127"/>
      <c r="B97" s="141"/>
      <c r="C97" s="142"/>
      <c r="D97" s="142"/>
      <c r="E97" s="143"/>
      <c r="F97" s="142"/>
      <c r="G97" s="142"/>
      <c r="H97" s="142"/>
    </row>
    <row r="98" spans="1:8" ht="13.2" x14ac:dyDescent="0.25">
      <c r="A98" s="127"/>
      <c r="B98" s="141"/>
      <c r="C98" s="142"/>
      <c r="D98" s="142"/>
      <c r="E98" s="143"/>
      <c r="F98" s="142"/>
      <c r="G98" s="142"/>
      <c r="H98" s="142"/>
    </row>
    <row r="99" spans="1:8" ht="13.2" x14ac:dyDescent="0.25">
      <c r="A99" s="127"/>
      <c r="B99" s="141"/>
      <c r="C99" s="142"/>
      <c r="D99" s="142"/>
      <c r="E99" s="143"/>
      <c r="F99" s="142"/>
      <c r="G99" s="142"/>
      <c r="H99" s="142"/>
    </row>
    <row r="100" spans="1:8" ht="13.2" x14ac:dyDescent="0.25">
      <c r="A100" s="127"/>
      <c r="B100" s="141"/>
      <c r="C100" s="142"/>
      <c r="D100" s="142"/>
      <c r="E100" s="143"/>
      <c r="F100" s="142"/>
      <c r="G100" s="142"/>
      <c r="H100" s="142"/>
    </row>
    <row r="101" spans="1:8" ht="13.2" x14ac:dyDescent="0.25">
      <c r="A101" s="127"/>
      <c r="B101" s="141"/>
      <c r="C101" s="142"/>
      <c r="D101" s="142"/>
      <c r="E101" s="143"/>
      <c r="F101" s="142"/>
      <c r="G101" s="142"/>
      <c r="H101" s="142"/>
    </row>
    <row r="102" spans="1:8" ht="13.2" x14ac:dyDescent="0.25">
      <c r="A102" s="127"/>
      <c r="B102" s="141"/>
      <c r="C102" s="142"/>
      <c r="D102" s="142"/>
      <c r="E102" s="143"/>
      <c r="F102" s="142"/>
      <c r="G102" s="142"/>
      <c r="H102" s="142"/>
    </row>
    <row r="103" spans="1:8" ht="13.2" x14ac:dyDescent="0.25">
      <c r="A103" s="127"/>
      <c r="B103" s="141"/>
      <c r="C103" s="142"/>
      <c r="D103" s="142"/>
      <c r="E103" s="143"/>
      <c r="F103" s="142"/>
      <c r="G103" s="142"/>
      <c r="H103" s="142"/>
    </row>
    <row r="104" spans="1:8" ht="13.2" x14ac:dyDescent="0.25">
      <c r="A104" s="127"/>
      <c r="B104" s="141"/>
      <c r="C104" s="142"/>
      <c r="D104" s="142"/>
      <c r="E104" s="143"/>
      <c r="F104" s="142"/>
      <c r="G104" s="142"/>
      <c r="H104" s="142"/>
    </row>
    <row r="105" spans="1:8" ht="13.2" x14ac:dyDescent="0.25">
      <c r="A105" s="127"/>
      <c r="B105" s="141"/>
      <c r="C105" s="142"/>
      <c r="D105" s="142"/>
      <c r="E105" s="143"/>
      <c r="F105" s="142"/>
      <c r="G105" s="142"/>
      <c r="H105" s="142"/>
    </row>
    <row r="106" spans="1:8" ht="13.2" x14ac:dyDescent="0.25">
      <c r="A106" s="127"/>
      <c r="B106" s="141"/>
      <c r="C106" s="142"/>
      <c r="D106" s="142"/>
      <c r="E106" s="143"/>
      <c r="F106" s="142"/>
      <c r="G106" s="142"/>
      <c r="H106" s="142"/>
    </row>
    <row r="107" spans="1:8" ht="13.2" x14ac:dyDescent="0.25">
      <c r="A107" s="127"/>
      <c r="B107" s="141"/>
      <c r="C107" s="142"/>
      <c r="D107" s="142"/>
      <c r="E107" s="143"/>
      <c r="F107" s="142"/>
      <c r="G107" s="142"/>
      <c r="H107" s="142"/>
    </row>
    <row r="108" spans="1:8" ht="13.2" x14ac:dyDescent="0.25">
      <c r="A108" s="127"/>
      <c r="B108" s="141"/>
      <c r="C108" s="142"/>
      <c r="D108" s="142"/>
      <c r="E108" s="143"/>
      <c r="F108" s="142"/>
      <c r="G108" s="142"/>
      <c r="H108" s="142"/>
    </row>
    <row r="109" spans="1:8" ht="13.2" x14ac:dyDescent="0.25">
      <c r="A109" s="127"/>
      <c r="B109" s="141"/>
      <c r="C109" s="142"/>
      <c r="D109" s="142"/>
      <c r="E109" s="143"/>
      <c r="F109" s="142"/>
      <c r="G109" s="142"/>
      <c r="H109" s="142"/>
    </row>
    <row r="110" spans="1:8" ht="13.2" x14ac:dyDescent="0.25">
      <c r="A110" s="127"/>
      <c r="B110" s="141"/>
      <c r="C110" s="142"/>
      <c r="D110" s="142"/>
      <c r="E110" s="143"/>
      <c r="F110" s="142"/>
      <c r="G110" s="142"/>
      <c r="H110" s="142"/>
    </row>
    <row r="111" spans="1:8" ht="13.2" x14ac:dyDescent="0.25">
      <c r="A111" s="127"/>
      <c r="B111" s="141"/>
      <c r="C111" s="142"/>
      <c r="D111" s="142"/>
      <c r="E111" s="143"/>
      <c r="F111" s="142"/>
      <c r="G111" s="142"/>
      <c r="H111" s="142"/>
    </row>
    <row r="112" spans="1:8" ht="13.2" x14ac:dyDescent="0.25">
      <c r="A112" s="127"/>
      <c r="B112" s="141"/>
      <c r="C112" s="142"/>
      <c r="D112" s="142"/>
      <c r="E112" s="143"/>
      <c r="F112" s="142"/>
      <c r="G112" s="142"/>
      <c r="H112" s="142"/>
    </row>
    <row r="113" spans="1:8" ht="13.2" x14ac:dyDescent="0.25">
      <c r="A113" s="127"/>
      <c r="B113" s="141"/>
      <c r="C113" s="142"/>
      <c r="D113" s="142"/>
      <c r="E113" s="143"/>
      <c r="F113" s="142"/>
      <c r="G113" s="142"/>
      <c r="H113" s="142"/>
    </row>
    <row r="114" spans="1:8" ht="13.2" x14ac:dyDescent="0.25">
      <c r="A114" s="127"/>
      <c r="B114" s="141"/>
      <c r="C114" s="142"/>
      <c r="D114" s="142"/>
      <c r="E114" s="143"/>
      <c r="F114" s="142"/>
      <c r="G114" s="142"/>
      <c r="H114" s="142"/>
    </row>
    <row r="115" spans="1:8" ht="13.2" x14ac:dyDescent="0.25">
      <c r="A115" s="127"/>
      <c r="B115" s="141"/>
      <c r="C115" s="142"/>
      <c r="D115" s="142"/>
      <c r="E115" s="143"/>
      <c r="F115" s="142"/>
      <c r="G115" s="142"/>
      <c r="H115" s="142"/>
    </row>
    <row r="116" spans="1:8" ht="13.2" x14ac:dyDescent="0.25">
      <c r="A116" s="127"/>
      <c r="B116" s="141"/>
      <c r="C116" s="142"/>
      <c r="D116" s="142"/>
      <c r="E116" s="143"/>
      <c r="F116" s="142"/>
      <c r="G116" s="142"/>
      <c r="H116" s="142"/>
    </row>
    <row r="117" spans="1:8" ht="13.2" x14ac:dyDescent="0.25">
      <c r="A117" s="127"/>
      <c r="B117" s="141"/>
      <c r="C117" s="142"/>
      <c r="D117" s="142"/>
      <c r="E117" s="143"/>
      <c r="F117" s="142"/>
      <c r="G117" s="142"/>
      <c r="H117" s="142"/>
    </row>
    <row r="118" spans="1:8" ht="13.2" x14ac:dyDescent="0.25">
      <c r="A118" s="127"/>
      <c r="B118" s="141"/>
      <c r="C118" s="142"/>
      <c r="D118" s="142"/>
      <c r="E118" s="143"/>
      <c r="F118" s="142"/>
      <c r="G118" s="142"/>
      <c r="H118" s="142"/>
    </row>
    <row r="119" spans="1:8" ht="13.2" x14ac:dyDescent="0.25">
      <c r="A119" s="127"/>
      <c r="B119" s="141"/>
      <c r="C119" s="142"/>
      <c r="D119" s="142"/>
      <c r="E119" s="143"/>
      <c r="F119" s="142"/>
      <c r="G119" s="142"/>
      <c r="H119" s="142"/>
    </row>
    <row r="120" spans="1:8" ht="13.2" x14ac:dyDescent="0.25">
      <c r="A120" s="127"/>
      <c r="B120" s="141"/>
      <c r="C120" s="142"/>
      <c r="D120" s="142"/>
      <c r="E120" s="143"/>
      <c r="F120" s="142"/>
      <c r="G120" s="142"/>
      <c r="H120" s="142"/>
    </row>
    <row r="121" spans="1:8" ht="13.2" x14ac:dyDescent="0.25">
      <c r="A121" s="127"/>
      <c r="B121" s="141"/>
      <c r="C121" s="142"/>
      <c r="D121" s="142"/>
      <c r="E121" s="143"/>
      <c r="F121" s="142"/>
      <c r="G121" s="142"/>
      <c r="H121" s="142"/>
    </row>
    <row r="122" spans="1:8" ht="13.2" x14ac:dyDescent="0.25">
      <c r="A122" s="127"/>
      <c r="B122" s="141"/>
      <c r="C122" s="142"/>
      <c r="D122" s="142"/>
      <c r="E122" s="143"/>
      <c r="F122" s="142"/>
      <c r="G122" s="142"/>
      <c r="H122" s="142"/>
    </row>
    <row r="123" spans="1:8" ht="13.2" x14ac:dyDescent="0.25">
      <c r="A123" s="127"/>
      <c r="B123" s="141"/>
      <c r="C123" s="142"/>
      <c r="D123" s="142"/>
      <c r="E123" s="143"/>
      <c r="F123" s="142"/>
      <c r="G123" s="142"/>
      <c r="H123" s="142"/>
    </row>
    <row r="124" spans="1:8" ht="13.2" x14ac:dyDescent="0.25">
      <c r="A124" s="127"/>
      <c r="B124" s="141"/>
      <c r="C124" s="142"/>
      <c r="D124" s="142"/>
      <c r="E124" s="143"/>
      <c r="F124" s="142"/>
      <c r="G124" s="142"/>
      <c r="H124" s="142"/>
    </row>
    <row r="125" spans="1:8" ht="13.2" x14ac:dyDescent="0.25">
      <c r="A125" s="127"/>
      <c r="B125" s="141"/>
      <c r="C125" s="142"/>
      <c r="D125" s="142"/>
      <c r="E125" s="143"/>
      <c r="F125" s="142"/>
      <c r="G125" s="142"/>
      <c r="H125" s="142"/>
    </row>
    <row r="126" spans="1:8" ht="13.2" x14ac:dyDescent="0.25">
      <c r="A126" s="127"/>
      <c r="B126" s="141"/>
      <c r="C126" s="142"/>
      <c r="D126" s="142"/>
      <c r="E126" s="143"/>
      <c r="F126" s="142"/>
      <c r="G126" s="142"/>
      <c r="H126" s="142"/>
    </row>
    <row r="127" spans="1:8" ht="13.2" x14ac:dyDescent="0.25">
      <c r="A127" s="127"/>
      <c r="B127" s="141"/>
      <c r="C127" s="142"/>
      <c r="D127" s="142"/>
      <c r="E127" s="143"/>
      <c r="F127" s="142"/>
      <c r="G127" s="142"/>
      <c r="H127" s="142"/>
    </row>
    <row r="128" spans="1:8" ht="13.2" x14ac:dyDescent="0.25">
      <c r="A128" s="127"/>
      <c r="B128" s="141"/>
      <c r="C128" s="142"/>
      <c r="D128" s="142"/>
      <c r="E128" s="143"/>
      <c r="F128" s="142"/>
      <c r="G128" s="142"/>
      <c r="H128" s="142"/>
    </row>
    <row r="129" spans="1:8" ht="13.2" x14ac:dyDescent="0.25">
      <c r="A129" s="127"/>
      <c r="B129" s="141"/>
      <c r="C129" s="142"/>
      <c r="D129" s="142"/>
      <c r="E129" s="143"/>
      <c r="F129" s="142"/>
      <c r="G129" s="142"/>
      <c r="H129" s="142"/>
    </row>
    <row r="130" spans="1:8" ht="13.2" x14ac:dyDescent="0.25">
      <c r="A130" s="127"/>
      <c r="B130" s="141"/>
      <c r="C130" s="142"/>
      <c r="D130" s="142"/>
      <c r="E130" s="143"/>
      <c r="F130" s="142"/>
      <c r="G130" s="142"/>
      <c r="H130" s="142"/>
    </row>
    <row r="131" spans="1:8" ht="13.2" x14ac:dyDescent="0.25">
      <c r="A131" s="127"/>
      <c r="B131" s="141"/>
      <c r="C131" s="142"/>
      <c r="D131" s="142"/>
      <c r="E131" s="143"/>
      <c r="F131" s="142"/>
      <c r="G131" s="142"/>
      <c r="H131" s="142"/>
    </row>
    <row r="132" spans="1:8" ht="13.2" x14ac:dyDescent="0.25">
      <c r="A132" s="127"/>
      <c r="B132" s="141"/>
      <c r="C132" s="142"/>
      <c r="D132" s="142"/>
      <c r="E132" s="143"/>
      <c r="F132" s="142"/>
      <c r="G132" s="142"/>
      <c r="H132" s="142"/>
    </row>
  </sheetData>
  <sheetProtection sheet="1" objects="1" scenarios="1"/>
  <phoneticPr fontId="0" type="noConversion"/>
  <conditionalFormatting sqref="B40 B43:B65536">
    <cfRule type="expression" dxfId="10" priority="5" stopIfTrue="1">
      <formula>AND(B40&lt;&gt;"",ISNA(VLOOKUP(B40,$B$11:$B$38,1,FALSE)))</formula>
    </cfRule>
  </conditionalFormatting>
  <conditionalFormatting sqref="B42">
    <cfRule type="expression" dxfId="9" priority="1" stopIfTrue="1">
      <formula>AND(B42&lt;&gt;"",ISNA(VLOOKUP(B42,$B$11:$B$38,1,FALSE)))</formula>
    </cfRule>
  </conditionalFormatting>
  <conditionalFormatting sqref="B41">
    <cfRule type="expression" dxfId="8" priority="2" stopIfTrue="1">
      <formula>AND(B41&lt;&gt;"",ISNA(VLOOKUP(B41,$B$11:$B$38,1,FALSE)))</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4" r:id="rId4" name="Button 70">
              <controlPr defaultSize="0" print="0" autoFill="0" autoPict="0" macro="[0]!sumoutput">
                <anchor>
                  <from>
                    <xdr:col>4</xdr:col>
                    <xdr:colOff>2270760</xdr:colOff>
                    <xdr:row>1</xdr:row>
                    <xdr:rowOff>114300</xdr:rowOff>
                  </from>
                  <to>
                    <xdr:col>6</xdr:col>
                    <xdr:colOff>304800</xdr:colOff>
                    <xdr:row>1</xdr:row>
                    <xdr:rowOff>365760</xdr:rowOff>
                  </to>
                </anchor>
              </controlPr>
            </control>
          </mc:Choice>
        </mc:AlternateContent>
        <mc:AlternateContent xmlns:mc="http://schemas.openxmlformats.org/markup-compatibility/2006">
          <mc:Choice Requires="x14">
            <control shapeId="1103" r:id="rId5" name="Button 79">
              <controlPr defaultSize="0" print="0" autoFill="0" autoPict="0" macro="[0]!removeResults">
                <anchor>
                  <from>
                    <xdr:col>6</xdr:col>
                    <xdr:colOff>441960</xdr:colOff>
                    <xdr:row>1</xdr:row>
                    <xdr:rowOff>114300</xdr:rowOff>
                  </from>
                  <to>
                    <xdr:col>8</xdr:col>
                    <xdr:colOff>15240</xdr:colOff>
                    <xdr:row>1</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12"/>
  <sheetViews>
    <sheetView workbookViewId="0">
      <pane ySplit="2" topLeftCell="A3" activePane="bottomLeft" state="frozen"/>
      <selection activeCell="A34" sqref="A34"/>
      <selection pane="bottomLeft" activeCell="A3" sqref="A3"/>
    </sheetView>
  </sheetViews>
  <sheetFormatPr defaultColWidth="9.109375" defaultRowHeight="13.2" x14ac:dyDescent="0.25"/>
  <cols>
    <col min="1" max="1" width="96.6640625" style="111" customWidth="1"/>
    <col min="2" max="2" width="4.88671875" style="108" customWidth="1"/>
    <col min="3" max="16384" width="9.109375" style="108"/>
  </cols>
  <sheetData>
    <row r="2" spans="1:1" ht="13.8" x14ac:dyDescent="0.25">
      <c r="A2" s="107" t="s">
        <v>297</v>
      </c>
    </row>
    <row r="3" spans="1:1" ht="13.8" x14ac:dyDescent="0.25">
      <c r="A3" s="107"/>
    </row>
    <row r="4" spans="1:1" ht="79.2" x14ac:dyDescent="0.25">
      <c r="A4" s="109" t="s">
        <v>204</v>
      </c>
    </row>
    <row r="5" spans="1:1" ht="79.2" x14ac:dyDescent="0.25">
      <c r="A5" s="109" t="s">
        <v>609</v>
      </c>
    </row>
    <row r="6" spans="1:1" ht="39.6" x14ac:dyDescent="0.25">
      <c r="A6" s="110" t="s">
        <v>339</v>
      </c>
    </row>
    <row r="7" spans="1:1" ht="26.4" x14ac:dyDescent="0.25">
      <c r="A7" s="110" t="s">
        <v>340</v>
      </c>
    </row>
    <row r="8" spans="1:1" ht="39.6" x14ac:dyDescent="0.25">
      <c r="A8" s="109" t="s">
        <v>318</v>
      </c>
    </row>
    <row r="9" spans="1:1" ht="52.8" x14ac:dyDescent="0.25">
      <c r="A9" s="109" t="s">
        <v>319</v>
      </c>
    </row>
    <row r="10" spans="1:1" ht="52.8" x14ac:dyDescent="0.25">
      <c r="A10" s="186" t="s">
        <v>610</v>
      </c>
    </row>
    <row r="11" spans="1:1" ht="112.5" customHeight="1" x14ac:dyDescent="0.25">
      <c r="A11" s="187" t="s">
        <v>0</v>
      </c>
    </row>
    <row r="12" spans="1:1" ht="102.6" x14ac:dyDescent="0.25">
      <c r="A12" s="188" t="s">
        <v>1</v>
      </c>
    </row>
  </sheetData>
  <phoneticPr fontId="0" type="noConversion"/>
  <pageMargins left="0.39370078740157483" right="0.39370078740157483" top="0.39370078740157483" bottom="0.39370078740157483" header="0.31496062992125984" footer="0.31496062992125984"/>
  <pageSetup paperSize="9" orientation="portrait" r:id="rId1"/>
  <headerFooter alignWithMargins="0">
    <oddFooter>&amp;L&amp;8EUROMOD: Summary Output&amp;R&amp;8&amp;D</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53"/>
  <sheetViews>
    <sheetView workbookViewId="0">
      <pane xSplit="1" ySplit="3" topLeftCell="B4" activePane="bottomRight" state="frozen"/>
      <selection pane="topRight" activeCell="B1" sqref="B1"/>
      <selection pane="bottomLeft" activeCell="A5" sqref="A5"/>
      <selection pane="bottomRight" activeCell="B4" sqref="B4"/>
    </sheetView>
  </sheetViews>
  <sheetFormatPr defaultColWidth="5.44140625" defaultRowHeight="13.2" x14ac:dyDescent="0.25"/>
  <cols>
    <col min="1" max="1" width="17.33203125" customWidth="1"/>
    <col min="2" max="2" width="5.5546875" bestFit="1" customWidth="1"/>
    <col min="3" max="3" width="6.5546875" customWidth="1"/>
    <col min="4" max="15" width="6.44140625" bestFit="1" customWidth="1"/>
    <col min="16" max="16" width="6.44140625" customWidth="1"/>
    <col min="17" max="17" width="5.44140625" customWidth="1"/>
    <col min="18" max="26" width="7.88671875" bestFit="1" customWidth="1"/>
  </cols>
  <sheetData>
    <row r="1" spans="1:26" s="88" customFormat="1" ht="17.399999999999999" x14ac:dyDescent="0.25">
      <c r="A1" s="87" t="s">
        <v>280</v>
      </c>
      <c r="B1" s="87"/>
      <c r="C1" s="87"/>
      <c r="R1" s="209" t="s">
        <v>306</v>
      </c>
      <c r="S1" s="209"/>
      <c r="T1" s="209"/>
      <c r="U1" s="209"/>
      <c r="V1" s="209"/>
      <c r="W1" s="209"/>
      <c r="X1" s="209"/>
      <c r="Y1" s="209"/>
    </row>
    <row r="2" spans="1:26" s="88" customFormat="1" x14ac:dyDescent="0.25">
      <c r="A2" s="89"/>
      <c r="B2" s="89"/>
      <c r="C2" s="89"/>
      <c r="R2" s="210" t="s">
        <v>644</v>
      </c>
      <c r="S2" s="210"/>
      <c r="T2" s="210"/>
      <c r="U2" s="210"/>
      <c r="V2" s="210"/>
      <c r="W2" s="210"/>
      <c r="X2" s="210"/>
      <c r="Y2" s="210"/>
    </row>
    <row r="3" spans="1:26" x14ac:dyDescent="0.25">
      <c r="B3" s="194" t="s">
        <v>2</v>
      </c>
      <c r="C3" s="169" t="s">
        <v>185</v>
      </c>
      <c r="D3" s="177">
        <v>1998</v>
      </c>
      <c r="E3" s="177">
        <v>1999</v>
      </c>
      <c r="F3" s="177">
        <v>2000</v>
      </c>
      <c r="G3" s="177">
        <v>2001</v>
      </c>
      <c r="H3" s="177">
        <v>2002</v>
      </c>
      <c r="I3" s="177">
        <v>2003</v>
      </c>
      <c r="J3" s="177">
        <v>2004</v>
      </c>
      <c r="K3" s="177">
        <v>2005</v>
      </c>
      <c r="L3" s="177">
        <v>2006</v>
      </c>
      <c r="M3" s="177">
        <v>2007</v>
      </c>
      <c r="N3" s="177">
        <v>2008</v>
      </c>
      <c r="O3" s="177">
        <v>2009</v>
      </c>
      <c r="P3" s="177">
        <v>2010</v>
      </c>
      <c r="Q3" s="90"/>
      <c r="R3" s="3" t="s">
        <v>205</v>
      </c>
      <c r="S3" s="3" t="s">
        <v>307</v>
      </c>
      <c r="T3" s="3" t="s">
        <v>308</v>
      </c>
      <c r="U3" s="3" t="s">
        <v>192</v>
      </c>
      <c r="V3" s="3" t="s">
        <v>187</v>
      </c>
      <c r="W3" s="3" t="s">
        <v>628</v>
      </c>
      <c r="X3" s="3" t="s">
        <v>629</v>
      </c>
      <c r="Y3" s="3" t="s">
        <v>630</v>
      </c>
      <c r="Z3" s="3" t="s">
        <v>645</v>
      </c>
    </row>
    <row r="4" spans="1:26" x14ac:dyDescent="0.25">
      <c r="A4" s="91" t="s">
        <v>281</v>
      </c>
      <c r="B4" s="195">
        <v>1</v>
      </c>
      <c r="C4" s="30">
        <v>1</v>
      </c>
      <c r="D4" s="178">
        <v>1.07131</v>
      </c>
      <c r="E4" s="178">
        <v>1.0600700000000001</v>
      </c>
      <c r="F4" s="178">
        <v>1.0352300000000001</v>
      </c>
      <c r="G4" s="178">
        <v>1.0682799999999999</v>
      </c>
      <c r="H4" s="178">
        <v>1.04806</v>
      </c>
      <c r="I4" s="178">
        <v>1.0467299999999999</v>
      </c>
      <c r="J4" s="178">
        <v>1.03779</v>
      </c>
      <c r="K4" s="178">
        <v>1.0586</v>
      </c>
      <c r="L4" s="178">
        <v>1.05158</v>
      </c>
      <c r="M4" s="178">
        <v>1.0682400000000001</v>
      </c>
      <c r="N4" s="178">
        <v>1.09223</v>
      </c>
      <c r="O4" s="178">
        <v>1.1216699999999999</v>
      </c>
      <c r="P4" s="178">
        <v>1.10619</v>
      </c>
      <c r="Q4" s="92"/>
      <c r="R4" s="166">
        <v>13.760300000000001</v>
      </c>
      <c r="S4" s="166">
        <v>13.760300000000001</v>
      </c>
      <c r="T4" s="166"/>
      <c r="U4" s="166"/>
      <c r="V4" s="171"/>
      <c r="W4" s="2"/>
      <c r="X4" s="2"/>
      <c r="Y4" s="2"/>
    </row>
    <row r="5" spans="1:26" x14ac:dyDescent="0.25">
      <c r="A5" s="91" t="s">
        <v>282</v>
      </c>
      <c r="B5" s="195">
        <v>2</v>
      </c>
      <c r="C5" s="30">
        <v>1</v>
      </c>
      <c r="D5" s="178">
        <v>1.0795300000000001</v>
      </c>
      <c r="E5" s="178">
        <v>1.06491</v>
      </c>
      <c r="F5" s="178">
        <v>1.0245500000000001</v>
      </c>
      <c r="G5" s="178">
        <v>1.03135</v>
      </c>
      <c r="H5" s="178">
        <v>1.0124</v>
      </c>
      <c r="I5" s="178">
        <v>1.0395399999999999</v>
      </c>
      <c r="J5" s="178">
        <v>1.06403</v>
      </c>
      <c r="K5" s="178">
        <v>1.0743499999999999</v>
      </c>
      <c r="L5" s="178">
        <v>1.0842499999999999</v>
      </c>
      <c r="M5" s="178">
        <v>1.0920799999999999</v>
      </c>
      <c r="N5" s="178">
        <v>1.1197999999999999</v>
      </c>
      <c r="O5" s="178">
        <v>1.1493</v>
      </c>
      <c r="P5" s="178">
        <v>1.1231800000000001</v>
      </c>
      <c r="Q5" s="92"/>
      <c r="R5" s="166">
        <v>40.3399</v>
      </c>
      <c r="S5" s="166">
        <v>40.3399</v>
      </c>
      <c r="T5" s="166"/>
      <c r="U5" s="166"/>
      <c r="V5" s="171"/>
      <c r="W5" s="2"/>
      <c r="X5" s="2"/>
      <c r="Y5" s="2"/>
    </row>
    <row r="6" spans="1:26" x14ac:dyDescent="0.25">
      <c r="A6" s="91" t="s">
        <v>595</v>
      </c>
      <c r="B6" s="198" t="s">
        <v>618</v>
      </c>
      <c r="C6" s="30"/>
      <c r="D6" s="178">
        <v>0.59451500000000002</v>
      </c>
      <c r="E6" s="178">
        <v>0.60414999999999996</v>
      </c>
      <c r="F6" s="178">
        <v>0.61947799999999997</v>
      </c>
      <c r="G6" s="178">
        <v>0.65080300000000002</v>
      </c>
      <c r="H6" s="178">
        <v>0.65115299999999998</v>
      </c>
      <c r="I6" s="178">
        <v>0.65953300000000004</v>
      </c>
      <c r="J6" s="178">
        <v>0.68479999999999996</v>
      </c>
      <c r="K6" s="178">
        <v>0.715445</v>
      </c>
      <c r="L6" s="178">
        <v>0.74543599999999999</v>
      </c>
      <c r="M6" s="178">
        <v>0.78381699999999999</v>
      </c>
      <c r="N6" s="178">
        <v>0.835789</v>
      </c>
      <c r="O6" s="178">
        <v>0.86856199999999995</v>
      </c>
      <c r="P6" s="178">
        <v>0.87900800000000001</v>
      </c>
      <c r="Q6" s="93"/>
      <c r="R6" s="171"/>
      <c r="S6" s="171"/>
      <c r="T6" s="171"/>
      <c r="U6" s="171">
        <v>1.95583</v>
      </c>
      <c r="V6" s="171">
        <v>1.95583</v>
      </c>
      <c r="W6" s="171">
        <v>1.95583</v>
      </c>
      <c r="X6" s="171">
        <v>1.95583</v>
      </c>
      <c r="Y6" s="171">
        <v>1.95583</v>
      </c>
      <c r="Z6" s="171">
        <v>1.95583</v>
      </c>
    </row>
    <row r="7" spans="1:26" x14ac:dyDescent="0.25">
      <c r="A7" s="91" t="s">
        <v>597</v>
      </c>
      <c r="B7" s="198" t="s">
        <v>619</v>
      </c>
      <c r="C7" s="30">
        <v>1</v>
      </c>
      <c r="D7" s="178">
        <v>0.845329</v>
      </c>
      <c r="E7" s="178">
        <v>0.84826100000000004</v>
      </c>
      <c r="F7" s="178">
        <v>0.84239200000000003</v>
      </c>
      <c r="G7" s="178">
        <v>0.84286799999999995</v>
      </c>
      <c r="H7" s="178">
        <v>0.84612600000000004</v>
      </c>
      <c r="I7" s="178">
        <v>0.88308200000000003</v>
      </c>
      <c r="J7" s="178">
        <v>0.87471900000000002</v>
      </c>
      <c r="K7" s="178">
        <v>0.86921999999999999</v>
      </c>
      <c r="L7" s="178">
        <v>0.87163999999999997</v>
      </c>
      <c r="M7" s="178">
        <v>0.87558100000000005</v>
      </c>
      <c r="N7" s="178">
        <v>0.895096</v>
      </c>
      <c r="O7" s="178">
        <v>0.91495199999999999</v>
      </c>
      <c r="P7" s="178">
        <v>0.90602899999999997</v>
      </c>
      <c r="Q7" s="93"/>
      <c r="R7" s="171"/>
      <c r="S7" s="171"/>
      <c r="T7" s="171"/>
      <c r="U7" s="171"/>
      <c r="V7" s="171"/>
      <c r="W7" s="2"/>
      <c r="X7" s="2"/>
      <c r="Y7" s="2"/>
    </row>
    <row r="8" spans="1:26" x14ac:dyDescent="0.25">
      <c r="A8" s="91" t="s">
        <v>596</v>
      </c>
      <c r="B8" s="198" t="s">
        <v>620</v>
      </c>
      <c r="C8" s="30"/>
      <c r="D8" s="178">
        <v>16.222999999999999</v>
      </c>
      <c r="E8" s="178">
        <v>16.3428</v>
      </c>
      <c r="F8" s="178">
        <v>16.343399999999999</v>
      </c>
      <c r="G8" s="178">
        <v>16.5627</v>
      </c>
      <c r="H8" s="178">
        <v>16.7545</v>
      </c>
      <c r="I8" s="178">
        <v>16.606400000000001</v>
      </c>
      <c r="J8" s="178">
        <v>16.960799999999999</v>
      </c>
      <c r="K8" s="178">
        <v>17.097300000000001</v>
      </c>
      <c r="L8" s="178">
        <v>17.232800000000001</v>
      </c>
      <c r="M8" s="178">
        <v>17.171800000000001</v>
      </c>
      <c r="N8" s="178">
        <v>17.5412</v>
      </c>
      <c r="O8" s="178">
        <v>17.944900000000001</v>
      </c>
      <c r="P8" s="178">
        <v>17.867899999999999</v>
      </c>
      <c r="Q8" s="92"/>
      <c r="R8" s="171"/>
      <c r="S8" s="171"/>
      <c r="T8" s="171"/>
      <c r="U8" s="171">
        <v>30.03</v>
      </c>
      <c r="V8" s="171">
        <v>28.492999999999999</v>
      </c>
      <c r="W8" s="171">
        <v>28.718</v>
      </c>
      <c r="X8" s="171">
        <v>23.893000000000001</v>
      </c>
      <c r="Y8" s="171">
        <v>25.445</v>
      </c>
      <c r="Z8" s="205"/>
    </row>
    <row r="9" spans="1:26" x14ac:dyDescent="0.25">
      <c r="A9" s="91" t="s">
        <v>283</v>
      </c>
      <c r="B9" s="195">
        <v>3</v>
      </c>
      <c r="C9" s="30"/>
      <c r="D9" s="178">
        <v>9.8011800000000004</v>
      </c>
      <c r="E9" s="178">
        <v>9.7902000000000005</v>
      </c>
      <c r="F9" s="178">
        <v>9.6699199999999994</v>
      </c>
      <c r="G9" s="178">
        <v>9.8616100000000007</v>
      </c>
      <c r="H9" s="178">
        <v>9.7144399999999997</v>
      </c>
      <c r="I9" s="178">
        <v>10.1013</v>
      </c>
      <c r="J9" s="178">
        <v>9.9741900000000001</v>
      </c>
      <c r="K9" s="178">
        <v>10.258800000000001</v>
      </c>
      <c r="L9" s="178">
        <v>10.2287</v>
      </c>
      <c r="M9" s="178">
        <v>10.1408</v>
      </c>
      <c r="N9" s="178">
        <v>10.2872</v>
      </c>
      <c r="O9" s="178">
        <v>10.564299999999999</v>
      </c>
      <c r="P9" s="178">
        <v>10.3201</v>
      </c>
      <c r="Q9" s="93"/>
      <c r="R9" s="166">
        <v>7.4689399999999999</v>
      </c>
      <c r="S9" s="166">
        <v>7.4444100000000004</v>
      </c>
      <c r="T9" s="166"/>
      <c r="U9" s="171"/>
      <c r="V9" s="171"/>
      <c r="W9" s="2"/>
      <c r="X9" s="2"/>
      <c r="Y9" s="2"/>
    </row>
    <row r="10" spans="1:26" x14ac:dyDescent="0.25">
      <c r="A10" s="91" t="s">
        <v>188</v>
      </c>
      <c r="B10" s="195">
        <v>16</v>
      </c>
      <c r="C10" s="30"/>
      <c r="D10" s="178">
        <v>7.8399792756000002</v>
      </c>
      <c r="E10" s="178">
        <v>8.0284895123999984</v>
      </c>
      <c r="F10" s="178">
        <v>8.1894460866000003</v>
      </c>
      <c r="G10" s="178">
        <v>8.6881814615999993</v>
      </c>
      <c r="H10" s="178">
        <v>8.7401907599999991</v>
      </c>
      <c r="I10" s="178">
        <v>8.8997860799999984</v>
      </c>
      <c r="J10" s="178">
        <v>9.0230187015999999</v>
      </c>
      <c r="K10" s="178">
        <v>9.3800584669999996</v>
      </c>
      <c r="L10" s="178">
        <v>9.9934208336000001</v>
      </c>
      <c r="M10" s="178">
        <v>10.692166696399999</v>
      </c>
      <c r="N10" s="178">
        <v>11.0491751686</v>
      </c>
      <c r="O10" s="178">
        <v>10.804571870799998</v>
      </c>
      <c r="P10" s="178">
        <v>10.6515481228</v>
      </c>
      <c r="Q10" s="93"/>
      <c r="R10" s="166"/>
      <c r="S10" s="166"/>
      <c r="T10" s="166"/>
      <c r="U10" s="166">
        <v>15.646599999999999</v>
      </c>
      <c r="V10" s="166">
        <v>15.646599999999999</v>
      </c>
      <c r="W10" s="166">
        <v>15.646599999999999</v>
      </c>
      <c r="X10" s="166">
        <v>15.646599999999999</v>
      </c>
      <c r="Y10" s="166">
        <v>15.646599999999999</v>
      </c>
      <c r="Z10" s="166">
        <v>15.646599999999999</v>
      </c>
    </row>
    <row r="11" spans="1:26" x14ac:dyDescent="0.25">
      <c r="A11" s="138" t="s">
        <v>284</v>
      </c>
      <c r="B11" s="196">
        <v>4</v>
      </c>
      <c r="C11" s="33">
        <v>1</v>
      </c>
      <c r="D11" s="179">
        <v>1.17099</v>
      </c>
      <c r="E11" s="179">
        <v>1.1591899999999999</v>
      </c>
      <c r="F11" s="179">
        <v>1.14405</v>
      </c>
      <c r="G11" s="179">
        <v>1.1780900000000001</v>
      </c>
      <c r="H11" s="179">
        <v>1.17391</v>
      </c>
      <c r="I11" s="179">
        <v>1.1957199999999999</v>
      </c>
      <c r="J11" s="179">
        <v>1.1574800000000001</v>
      </c>
      <c r="K11" s="179">
        <v>1.1670700000000001</v>
      </c>
      <c r="L11" s="179">
        <v>1.16658</v>
      </c>
      <c r="M11" s="179">
        <v>1.15832</v>
      </c>
      <c r="N11" s="179">
        <v>1.17852</v>
      </c>
      <c r="O11" s="179">
        <v>1.20807</v>
      </c>
      <c r="P11" s="179">
        <v>1.1888000000000001</v>
      </c>
      <c r="Q11" s="93"/>
      <c r="R11" s="166">
        <v>5.9457300000000002</v>
      </c>
      <c r="S11" s="166">
        <v>5.9457300000000002</v>
      </c>
      <c r="T11" s="166"/>
      <c r="U11" s="166"/>
      <c r="V11" s="171"/>
      <c r="W11" s="2"/>
      <c r="X11" s="2"/>
      <c r="Y11" s="2"/>
    </row>
    <row r="12" spans="1:26" x14ac:dyDescent="0.25">
      <c r="A12" s="91" t="s">
        <v>285</v>
      </c>
      <c r="B12" s="195">
        <v>5</v>
      </c>
      <c r="C12" s="30">
        <v>1</v>
      </c>
      <c r="D12" s="178">
        <v>1.12914</v>
      </c>
      <c r="E12" s="178">
        <v>1.1095200000000001</v>
      </c>
      <c r="F12" s="178">
        <v>1.0798700000000001</v>
      </c>
      <c r="G12" s="178">
        <v>1.0697099999999999</v>
      </c>
      <c r="H12" s="178">
        <v>1.05891</v>
      </c>
      <c r="I12" s="178">
        <v>1.1096900000000001</v>
      </c>
      <c r="J12" s="178">
        <v>1.1155900000000001</v>
      </c>
      <c r="K12" s="178">
        <v>1.1027</v>
      </c>
      <c r="L12" s="178">
        <v>1.10859</v>
      </c>
      <c r="M12" s="178">
        <v>1.09965</v>
      </c>
      <c r="N12" s="178">
        <v>1.1374200000000001</v>
      </c>
      <c r="O12" s="178">
        <v>1.1649700000000001</v>
      </c>
      <c r="P12" s="178">
        <v>1.14209</v>
      </c>
      <c r="Q12" s="93"/>
      <c r="R12" s="166">
        <v>6.5595699999999999</v>
      </c>
      <c r="S12" s="166">
        <v>6.5595699999999999</v>
      </c>
      <c r="T12" s="166"/>
      <c r="U12" s="171"/>
      <c r="V12" s="171"/>
      <c r="W12" s="2"/>
      <c r="X12" s="2"/>
      <c r="Y12" s="2"/>
    </row>
    <row r="13" spans="1:26" x14ac:dyDescent="0.25">
      <c r="A13" s="91" t="s">
        <v>286</v>
      </c>
      <c r="B13" s="195">
        <v>6</v>
      </c>
      <c r="C13" s="30">
        <v>1</v>
      </c>
      <c r="D13" s="178">
        <v>1.1536</v>
      </c>
      <c r="E13" s="178">
        <v>1.1268899999999999</v>
      </c>
      <c r="F13" s="178">
        <v>1.11191</v>
      </c>
      <c r="G13" s="178">
        <v>1.1127199999999999</v>
      </c>
      <c r="H13" s="178">
        <v>1.10209</v>
      </c>
      <c r="I13" s="178">
        <v>1.08565</v>
      </c>
      <c r="J13" s="178">
        <v>1.0640799999999999</v>
      </c>
      <c r="K13" s="178">
        <v>1.0352699999999999</v>
      </c>
      <c r="L13" s="178">
        <v>1.02837</v>
      </c>
      <c r="M13" s="178">
        <v>1.0228600000000001</v>
      </c>
      <c r="N13" s="178">
        <v>1.0418700000000001</v>
      </c>
      <c r="O13" s="178">
        <v>1.0695600000000001</v>
      </c>
      <c r="P13" s="178">
        <v>1.0548299999999999</v>
      </c>
      <c r="Q13" s="93"/>
      <c r="R13" s="166">
        <v>1.95583</v>
      </c>
      <c r="S13" s="166">
        <v>1.95583</v>
      </c>
      <c r="T13" s="166"/>
      <c r="U13" s="166"/>
      <c r="V13" s="171"/>
      <c r="W13" s="2"/>
      <c r="X13" s="2"/>
      <c r="Y13" s="2"/>
    </row>
    <row r="14" spans="1:26" x14ac:dyDescent="0.25">
      <c r="A14" s="91" t="s">
        <v>287</v>
      </c>
      <c r="B14" s="195">
        <v>7</v>
      </c>
      <c r="C14" s="30">
        <v>1</v>
      </c>
      <c r="D14" s="178">
        <v>0.77296799999999999</v>
      </c>
      <c r="E14" s="178">
        <v>0.786744</v>
      </c>
      <c r="F14" s="178">
        <v>0.77958400000000005</v>
      </c>
      <c r="G14" s="178">
        <v>0.78131099999999998</v>
      </c>
      <c r="H14" s="178">
        <v>0.772235</v>
      </c>
      <c r="I14" s="178">
        <v>0.81494200000000006</v>
      </c>
      <c r="J14" s="178">
        <v>0.82549099999999997</v>
      </c>
      <c r="K14" s="178">
        <v>0.85274399999999995</v>
      </c>
      <c r="L14" s="178">
        <v>0.85852799999999996</v>
      </c>
      <c r="M14" s="178">
        <v>0.88495999999999997</v>
      </c>
      <c r="N14" s="178">
        <v>0.89848600000000001</v>
      </c>
      <c r="O14" s="178">
        <v>0.94346200000000002</v>
      </c>
      <c r="P14" s="178">
        <v>0.93643799999999999</v>
      </c>
      <c r="Q14" s="93"/>
      <c r="R14" s="166">
        <v>340.75</v>
      </c>
      <c r="S14" s="166">
        <v>340.75</v>
      </c>
      <c r="T14" s="166"/>
      <c r="U14" s="166"/>
      <c r="V14" s="171"/>
      <c r="W14" s="2"/>
      <c r="X14" s="2"/>
      <c r="Y14" s="2"/>
    </row>
    <row r="15" spans="1:26" x14ac:dyDescent="0.25">
      <c r="A15" s="91" t="s">
        <v>189</v>
      </c>
      <c r="B15" s="195">
        <v>17</v>
      </c>
      <c r="C15" s="30"/>
      <c r="D15" s="199">
        <v>109.982</v>
      </c>
      <c r="E15" s="199">
        <v>116.831</v>
      </c>
      <c r="F15" s="199">
        <v>124.06</v>
      </c>
      <c r="G15" s="199">
        <v>128.863</v>
      </c>
      <c r="H15" s="199">
        <v>134.42099999999999</v>
      </c>
      <c r="I15" s="199">
        <v>142.60499999999999</v>
      </c>
      <c r="J15" s="199">
        <v>149.90299999999999</v>
      </c>
      <c r="K15" s="199">
        <v>153.57400000000001</v>
      </c>
      <c r="L15" s="199">
        <v>157.76</v>
      </c>
      <c r="M15" s="199">
        <v>161.727</v>
      </c>
      <c r="N15" s="199">
        <v>165.03</v>
      </c>
      <c r="O15" s="199">
        <v>170.17500000000001</v>
      </c>
      <c r="P15" s="199">
        <v>172.99199999999999</v>
      </c>
      <c r="Q15" s="93"/>
      <c r="R15" s="171"/>
      <c r="S15" s="171"/>
      <c r="T15" s="171"/>
      <c r="U15" s="201">
        <v>246.48500000000001</v>
      </c>
      <c r="V15" s="202">
        <v>283.12200000000001</v>
      </c>
      <c r="W15" s="203">
        <v>247.024</v>
      </c>
      <c r="X15" s="203">
        <v>242.96299999999999</v>
      </c>
      <c r="Y15" s="203">
        <v>272.52999999999997</v>
      </c>
    </row>
    <row r="16" spans="1:26" x14ac:dyDescent="0.25">
      <c r="A16" s="91" t="s">
        <v>288</v>
      </c>
      <c r="B16" s="195">
        <v>8</v>
      </c>
      <c r="C16" s="30">
        <v>1</v>
      </c>
      <c r="D16" s="178">
        <v>1.02979</v>
      </c>
      <c r="E16" s="178">
        <v>1.0748200000000001</v>
      </c>
      <c r="F16" s="178">
        <v>1.1061000000000001</v>
      </c>
      <c r="G16" s="178">
        <v>1.15642</v>
      </c>
      <c r="H16" s="178">
        <v>1.17466</v>
      </c>
      <c r="I16" s="178">
        <v>1.19998</v>
      </c>
      <c r="J16" s="178">
        <v>1.19397</v>
      </c>
      <c r="K16" s="178">
        <v>1.20648</v>
      </c>
      <c r="L16" s="178">
        <v>1.2085300000000001</v>
      </c>
      <c r="M16" s="178">
        <v>1.1802699999999999</v>
      </c>
      <c r="N16" s="178">
        <v>1.2176499999999999</v>
      </c>
      <c r="O16" s="178">
        <v>1.19872</v>
      </c>
      <c r="P16" s="178">
        <v>1.1210199999999999</v>
      </c>
      <c r="Q16" s="93"/>
      <c r="R16" s="166">
        <v>0.78756400000000004</v>
      </c>
      <c r="S16" s="166">
        <v>0.78756400000000004</v>
      </c>
      <c r="T16" s="166"/>
      <c r="U16" s="166"/>
      <c r="V16" s="171"/>
      <c r="W16" s="2"/>
      <c r="X16" s="2"/>
      <c r="Y16" s="2"/>
    </row>
    <row r="17" spans="1:26" x14ac:dyDescent="0.25">
      <c r="A17" s="91" t="s">
        <v>289</v>
      </c>
      <c r="B17" s="195">
        <v>9</v>
      </c>
      <c r="C17" s="30">
        <v>1</v>
      </c>
      <c r="D17" s="178">
        <v>0.94378300000000004</v>
      </c>
      <c r="E17" s="178">
        <v>0.94600700000000004</v>
      </c>
      <c r="F17" s="178">
        <v>0.93964400000000003</v>
      </c>
      <c r="G17" s="178">
        <v>0.940635</v>
      </c>
      <c r="H17" s="178">
        <v>0.989232</v>
      </c>
      <c r="I17" s="178">
        <v>1.0103200000000001</v>
      </c>
      <c r="J17" s="178">
        <v>1.0358400000000001</v>
      </c>
      <c r="K17" s="178">
        <v>1.0349999999999999</v>
      </c>
      <c r="L17" s="178">
        <v>1.0235799999999999</v>
      </c>
      <c r="M17" s="178">
        <v>1.00604</v>
      </c>
      <c r="N17" s="178">
        <v>1.0095000000000001</v>
      </c>
      <c r="O17" s="178">
        <v>1.03383</v>
      </c>
      <c r="P17" s="178">
        <v>1.0521199999999999</v>
      </c>
      <c r="Q17" s="93"/>
      <c r="R17" s="166">
        <v>1.9362699999999999</v>
      </c>
      <c r="S17" s="166">
        <v>1.9362699999999999</v>
      </c>
      <c r="T17" s="166"/>
      <c r="U17" s="166"/>
      <c r="V17" s="171"/>
      <c r="W17" s="2"/>
      <c r="X17" s="2"/>
      <c r="Y17" s="2"/>
    </row>
    <row r="18" spans="1:26" x14ac:dyDescent="0.25">
      <c r="A18" s="91" t="s">
        <v>598</v>
      </c>
      <c r="B18" s="198" t="s">
        <v>622</v>
      </c>
      <c r="C18" s="30"/>
      <c r="D18" s="178">
        <v>0.27293499999999998</v>
      </c>
      <c r="E18" s="178">
        <v>0.27816099999999999</v>
      </c>
      <c r="F18" s="178">
        <v>0.286383</v>
      </c>
      <c r="G18" s="178">
        <v>0.28943600000000003</v>
      </c>
      <c r="H18" s="178">
        <v>0.29198499999999999</v>
      </c>
      <c r="I18" s="178">
        <v>0.306228</v>
      </c>
      <c r="J18" s="178">
        <v>0.32520199999999999</v>
      </c>
      <c r="K18" s="178">
        <v>0.36063299999999998</v>
      </c>
      <c r="L18" s="178">
        <v>0.39993099999999998</v>
      </c>
      <c r="M18" s="178">
        <v>0.46632000000000001</v>
      </c>
      <c r="N18" s="178">
        <v>0.50574600000000003</v>
      </c>
      <c r="O18" s="178">
        <v>0.47635300000000003</v>
      </c>
      <c r="P18" s="178">
        <v>0.45132100000000003</v>
      </c>
      <c r="Q18" s="93"/>
      <c r="R18" s="171"/>
      <c r="S18" s="171"/>
      <c r="T18" s="171"/>
      <c r="U18" s="171"/>
      <c r="V18" s="171">
        <v>0.69620000000000004</v>
      </c>
      <c r="W18" s="171">
        <v>0.69620000000000004</v>
      </c>
      <c r="X18" s="171">
        <v>0.69620000000000004</v>
      </c>
      <c r="Y18" s="171">
        <v>0.69620000000000004</v>
      </c>
      <c r="Z18" s="171">
        <v>0.69620000000000004</v>
      </c>
    </row>
    <row r="19" spans="1:26" x14ac:dyDescent="0.25">
      <c r="A19" s="91" t="s">
        <v>599</v>
      </c>
      <c r="B19" s="198" t="s">
        <v>621</v>
      </c>
      <c r="C19" s="30"/>
      <c r="D19" s="178">
        <v>1.8491</v>
      </c>
      <c r="E19" s="178">
        <v>1.7957099999999999</v>
      </c>
      <c r="F19" s="178">
        <v>1.74465</v>
      </c>
      <c r="G19" s="178">
        <v>1.70289</v>
      </c>
      <c r="H19" s="178">
        <v>1.66208</v>
      </c>
      <c r="I19" s="178">
        <v>1.62158</v>
      </c>
      <c r="J19" s="178">
        <v>1.67022</v>
      </c>
      <c r="K19" s="178">
        <v>1.77536</v>
      </c>
      <c r="L19" s="178">
        <v>1.8657600000000001</v>
      </c>
      <c r="M19" s="178">
        <v>1.9822299999999999</v>
      </c>
      <c r="N19" s="178">
        <v>2.17144</v>
      </c>
      <c r="O19" s="178">
        <v>2.1324200000000002</v>
      </c>
      <c r="P19" s="178">
        <v>2.03172</v>
      </c>
      <c r="Q19" s="93"/>
      <c r="R19" s="171"/>
      <c r="S19" s="171"/>
      <c r="T19" s="171"/>
      <c r="U19" s="171">
        <v>3.4527999999999999</v>
      </c>
      <c r="V19" s="171">
        <v>3.4527999999999999</v>
      </c>
      <c r="W19" s="171">
        <v>3.4527999999999999</v>
      </c>
      <c r="X19" s="171">
        <v>3.4527999999999999</v>
      </c>
      <c r="Y19" s="171">
        <v>3.4527999999999999</v>
      </c>
      <c r="Z19" s="171">
        <v>3.4527999999999999</v>
      </c>
    </row>
    <row r="20" spans="1:26" x14ac:dyDescent="0.25">
      <c r="A20" s="91" t="s">
        <v>290</v>
      </c>
      <c r="B20" s="195">
        <v>10</v>
      </c>
      <c r="C20" s="30">
        <v>1</v>
      </c>
      <c r="D20" s="178">
        <v>1.10683</v>
      </c>
      <c r="E20" s="178">
        <v>1.08812</v>
      </c>
      <c r="F20" s="178">
        <v>1.0807500000000001</v>
      </c>
      <c r="G20" s="178">
        <v>1.10429</v>
      </c>
      <c r="H20" s="178">
        <v>1.0933299999999999</v>
      </c>
      <c r="I20" s="178">
        <v>1.1144700000000001</v>
      </c>
      <c r="J20" s="178">
        <v>1.0950800000000001</v>
      </c>
      <c r="K20" s="178">
        <v>1.1379999999999999</v>
      </c>
      <c r="L20" s="178">
        <v>1.1228800000000001</v>
      </c>
      <c r="M20" s="178">
        <v>1.1385000000000001</v>
      </c>
      <c r="N20" s="178">
        <v>1.16004</v>
      </c>
      <c r="O20" s="178">
        <v>1.1976</v>
      </c>
      <c r="P20" s="178">
        <v>1.1876899999999999</v>
      </c>
      <c r="Q20" s="93"/>
      <c r="R20" s="166">
        <v>40.3399</v>
      </c>
      <c r="S20" s="166">
        <v>40.3399</v>
      </c>
      <c r="T20" s="166"/>
      <c r="U20" s="166"/>
      <c r="V20" s="171"/>
      <c r="W20" s="2"/>
      <c r="X20" s="2"/>
      <c r="Y20" s="2"/>
    </row>
    <row r="21" spans="1:26" x14ac:dyDescent="0.25">
      <c r="A21" s="91" t="s">
        <v>600</v>
      </c>
      <c r="B21" s="198" t="s">
        <v>623</v>
      </c>
      <c r="C21" s="30">
        <v>1</v>
      </c>
      <c r="D21" s="178">
        <v>0.65498000000000001</v>
      </c>
      <c r="E21" s="178">
        <v>0.649725</v>
      </c>
      <c r="F21" s="178">
        <v>0.639594</v>
      </c>
      <c r="G21" s="178">
        <v>0.66676599999999997</v>
      </c>
      <c r="H21" s="178">
        <v>0.66342100000000004</v>
      </c>
      <c r="I21" s="178">
        <v>0.67814799999999997</v>
      </c>
      <c r="J21" s="178">
        <v>0.67204200000000003</v>
      </c>
      <c r="K21" s="178">
        <v>0.67777100000000001</v>
      </c>
      <c r="L21" s="178">
        <v>0.69002399999999997</v>
      </c>
      <c r="M21" s="178">
        <v>0.69926900000000003</v>
      </c>
      <c r="N21" s="178">
        <v>0.72238000000000002</v>
      </c>
      <c r="O21" s="178">
        <v>0.74443400000000004</v>
      </c>
      <c r="P21" s="178">
        <v>0.73455700000000002</v>
      </c>
      <c r="Q21" s="92"/>
      <c r="R21" s="171"/>
      <c r="S21" s="171"/>
      <c r="T21" s="171"/>
      <c r="U21" s="171"/>
      <c r="V21" s="171"/>
      <c r="W21" s="2"/>
      <c r="X21" s="2"/>
      <c r="Y21" s="2"/>
    </row>
    <row r="22" spans="1:26" x14ac:dyDescent="0.25">
      <c r="A22" s="91" t="s">
        <v>291</v>
      </c>
      <c r="B22" s="195">
        <v>11</v>
      </c>
      <c r="C22" s="30">
        <v>1</v>
      </c>
      <c r="D22" s="178">
        <v>1.05776</v>
      </c>
      <c r="E22" s="178">
        <v>1.04843</v>
      </c>
      <c r="F22" s="178">
        <v>1.0264</v>
      </c>
      <c r="G22" s="178">
        <v>1.05545</v>
      </c>
      <c r="H22" s="178">
        <v>1.0553699999999999</v>
      </c>
      <c r="I22" s="178">
        <v>1.0968199999999999</v>
      </c>
      <c r="J22" s="178">
        <v>1.0789200000000001</v>
      </c>
      <c r="K22" s="178">
        <v>1.0702400000000001</v>
      </c>
      <c r="L22" s="178">
        <v>1.06602</v>
      </c>
      <c r="M22" s="178">
        <v>1.05589</v>
      </c>
      <c r="N22" s="178">
        <v>1.0838699999999999</v>
      </c>
      <c r="O22" s="178">
        <v>1.12575</v>
      </c>
      <c r="P22" s="178">
        <v>1.0868</v>
      </c>
      <c r="Q22" s="92"/>
      <c r="R22" s="166">
        <v>2.2037100000000001</v>
      </c>
      <c r="S22" s="166">
        <v>2.2037100000000001</v>
      </c>
      <c r="T22" s="166"/>
      <c r="U22" s="166"/>
      <c r="V22" s="171"/>
      <c r="W22" s="2"/>
      <c r="X22" s="2"/>
      <c r="Y22" s="2"/>
    </row>
    <row r="23" spans="1:26" x14ac:dyDescent="0.25">
      <c r="A23" s="91" t="s">
        <v>190</v>
      </c>
      <c r="B23" s="195">
        <v>18</v>
      </c>
      <c r="C23" s="30"/>
      <c r="D23" s="178">
        <v>1.9363600000000001</v>
      </c>
      <c r="E23" s="178">
        <v>2.0113799999999999</v>
      </c>
      <c r="F23" s="178">
        <v>2.11714</v>
      </c>
      <c r="G23" s="178">
        <v>2.1670400000000001</v>
      </c>
      <c r="H23" s="178">
        <v>2.1402399999999999</v>
      </c>
      <c r="I23" s="178">
        <v>2.17849</v>
      </c>
      <c r="J23" s="178">
        <v>2.2090399999999999</v>
      </c>
      <c r="K23" s="178">
        <v>2.2322099999999998</v>
      </c>
      <c r="L23" s="178">
        <v>2.2641399999999998</v>
      </c>
      <c r="M23" s="178">
        <v>2.2696800000000001</v>
      </c>
      <c r="N23" s="178">
        <v>2.3745400000000001</v>
      </c>
      <c r="O23" s="178">
        <v>2.46997</v>
      </c>
      <c r="P23" s="178">
        <v>2.42896</v>
      </c>
      <c r="Q23" s="93"/>
      <c r="R23" s="171"/>
      <c r="S23" s="171"/>
      <c r="T23" s="171"/>
      <c r="U23" s="171">
        <v>4.0388000000000002</v>
      </c>
      <c r="V23" s="172">
        <v>4.0289999999999999</v>
      </c>
      <c r="W23" s="2">
        <v>3.7677</v>
      </c>
      <c r="X23" s="2">
        <v>3.3513000000000002</v>
      </c>
      <c r="Y23" s="2">
        <v>4.452</v>
      </c>
      <c r="Z23" s="2">
        <v>4.452</v>
      </c>
    </row>
    <row r="24" spans="1:26" x14ac:dyDescent="0.25">
      <c r="A24" s="91" t="s">
        <v>292</v>
      </c>
      <c r="B24" s="195">
        <v>12</v>
      </c>
      <c r="C24" s="30">
        <v>1</v>
      </c>
      <c r="D24" s="178">
        <v>0.80907799999999996</v>
      </c>
      <c r="E24" s="178">
        <v>0.80532599999999999</v>
      </c>
      <c r="F24" s="178">
        <v>0.80458799999999997</v>
      </c>
      <c r="G24" s="178">
        <v>0.82177699999999998</v>
      </c>
      <c r="H24" s="178">
        <v>0.828546</v>
      </c>
      <c r="I24" s="178">
        <v>0.83540499999999995</v>
      </c>
      <c r="J24" s="178">
        <v>0.849912</v>
      </c>
      <c r="K24" s="178">
        <v>0.81726699999999997</v>
      </c>
      <c r="L24" s="178">
        <v>0.81261700000000003</v>
      </c>
      <c r="M24" s="178">
        <v>0.81256099999999998</v>
      </c>
      <c r="N24" s="178">
        <v>0.83152700000000002</v>
      </c>
      <c r="O24" s="178">
        <v>0.83995399999999998</v>
      </c>
      <c r="P24" s="178">
        <v>0.82194800000000001</v>
      </c>
      <c r="Q24" s="93"/>
      <c r="R24" s="166">
        <v>200.482</v>
      </c>
      <c r="S24" s="166">
        <v>200.482</v>
      </c>
      <c r="T24" s="166"/>
      <c r="U24" s="166"/>
      <c r="V24" s="171"/>
      <c r="W24" s="2"/>
      <c r="X24" s="2"/>
      <c r="Y24" s="2"/>
    </row>
    <row r="25" spans="1:26" x14ac:dyDescent="0.25">
      <c r="A25" s="91" t="s">
        <v>601</v>
      </c>
      <c r="B25" s="198" t="s">
        <v>624</v>
      </c>
      <c r="C25" s="30"/>
      <c r="D25" s="178">
        <v>0.363153</v>
      </c>
      <c r="E25" s="178">
        <v>0.525621</v>
      </c>
      <c r="F25" s="178">
        <v>0.72739900000000002</v>
      </c>
      <c r="G25" s="178">
        <v>0.957237</v>
      </c>
      <c r="H25" s="178">
        <v>1.1591400000000001</v>
      </c>
      <c r="I25" s="178">
        <v>1.3998600000000001</v>
      </c>
      <c r="J25" s="178">
        <v>1.5444199999999999</v>
      </c>
      <c r="K25" s="178">
        <v>1.6994400000000001</v>
      </c>
      <c r="L25" s="178">
        <v>1.76004</v>
      </c>
      <c r="M25" s="178">
        <v>1.86249</v>
      </c>
      <c r="N25" s="178">
        <v>2.0484200000000001</v>
      </c>
      <c r="O25" s="178">
        <v>2.13537</v>
      </c>
      <c r="P25" s="178">
        <v>2.1737700000000002</v>
      </c>
      <c r="Q25" s="92"/>
      <c r="R25" s="171"/>
      <c r="S25" s="171"/>
      <c r="T25" s="171"/>
      <c r="U25" s="171"/>
      <c r="V25" s="171"/>
      <c r="W25" s="2"/>
      <c r="X25" s="2"/>
      <c r="Y25" s="2"/>
    </row>
    <row r="26" spans="1:26" x14ac:dyDescent="0.25">
      <c r="A26" s="91" t="s">
        <v>602</v>
      </c>
      <c r="B26" s="198" t="s">
        <v>625</v>
      </c>
      <c r="C26" s="30"/>
      <c r="D26" s="179">
        <v>0.54927499999999996</v>
      </c>
      <c r="E26" s="179">
        <v>0.57863299999999995</v>
      </c>
      <c r="F26" s="179">
        <v>0.60448500000000005</v>
      </c>
      <c r="G26" s="179">
        <v>0.60753500000000005</v>
      </c>
      <c r="H26" s="179">
        <v>0.61755599999999999</v>
      </c>
      <c r="I26" s="179">
        <v>0.65664800000000001</v>
      </c>
      <c r="J26" s="179">
        <v>0.679566</v>
      </c>
      <c r="K26" s="179">
        <v>0.675902</v>
      </c>
      <c r="L26" s="179">
        <v>0.68147400000000002</v>
      </c>
      <c r="M26" s="179">
        <v>0.67201500000000003</v>
      </c>
      <c r="N26" s="179">
        <v>0.68359499999999995</v>
      </c>
      <c r="O26" s="179">
        <v>0.67551899999999998</v>
      </c>
      <c r="P26" s="179">
        <v>0.67121200000000003</v>
      </c>
      <c r="Q26" s="93"/>
      <c r="R26" s="171"/>
      <c r="S26" s="171"/>
      <c r="T26" s="171"/>
      <c r="U26" s="171"/>
      <c r="V26" s="171">
        <v>37.234000000000002</v>
      </c>
      <c r="W26" s="171">
        <v>33.774999999999999</v>
      </c>
      <c r="X26" s="171">
        <v>31.262</v>
      </c>
      <c r="Y26" s="171">
        <v>30.126000000000001</v>
      </c>
    </row>
    <row r="27" spans="1:26" x14ac:dyDescent="0.25">
      <c r="A27" s="91" t="s">
        <v>191</v>
      </c>
      <c r="B27" s="195">
        <v>19</v>
      </c>
      <c r="C27" s="30">
        <v>1</v>
      </c>
      <c r="D27" s="178">
        <v>0.56603800000000004</v>
      </c>
      <c r="E27" s="178">
        <v>0.59018800000000005</v>
      </c>
      <c r="F27" s="178">
        <v>0.61143199999999998</v>
      </c>
      <c r="G27" s="178">
        <v>0.658196</v>
      </c>
      <c r="H27" s="178">
        <v>0.68850800000000001</v>
      </c>
      <c r="I27" s="178">
        <v>0.72766799999999998</v>
      </c>
      <c r="J27" s="178">
        <v>0.724912</v>
      </c>
      <c r="K27" s="178">
        <v>0.73041</v>
      </c>
      <c r="L27" s="178">
        <v>0.74626800000000004</v>
      </c>
      <c r="M27" s="178">
        <v>0.77494700000000005</v>
      </c>
      <c r="N27" s="178">
        <v>0.808728</v>
      </c>
      <c r="O27" s="178">
        <v>0.83557999999999999</v>
      </c>
      <c r="P27" s="178">
        <v>0.82649799999999995</v>
      </c>
      <c r="Q27" s="93"/>
      <c r="R27" s="171"/>
      <c r="S27" s="171"/>
      <c r="T27" s="171"/>
      <c r="U27" s="171">
        <v>239.64</v>
      </c>
      <c r="V27" s="204">
        <v>1</v>
      </c>
      <c r="W27" s="204">
        <v>1</v>
      </c>
      <c r="X27" s="204">
        <v>1</v>
      </c>
      <c r="Y27" s="204">
        <v>1</v>
      </c>
    </row>
    <row r="28" spans="1:26" x14ac:dyDescent="0.25">
      <c r="A28" s="91" t="s">
        <v>293</v>
      </c>
      <c r="B28" s="195">
        <v>13</v>
      </c>
      <c r="C28" s="30">
        <v>1</v>
      </c>
      <c r="D28" s="178">
        <v>0.83943900000000005</v>
      </c>
      <c r="E28" s="178">
        <v>0.84691300000000003</v>
      </c>
      <c r="F28" s="178">
        <v>0.84415600000000002</v>
      </c>
      <c r="G28" s="178">
        <v>0.86152300000000004</v>
      </c>
      <c r="H28" s="178">
        <v>0.85815200000000003</v>
      </c>
      <c r="I28" s="178">
        <v>0.89078299999999999</v>
      </c>
      <c r="J28" s="178">
        <v>0.90104399999999996</v>
      </c>
      <c r="K28" s="178">
        <v>0.91350100000000001</v>
      </c>
      <c r="L28" s="178">
        <v>0.90326300000000004</v>
      </c>
      <c r="M28" s="178">
        <v>0.89707199999999998</v>
      </c>
      <c r="N28" s="178">
        <v>0.92212000000000005</v>
      </c>
      <c r="O28" s="178">
        <v>0.94446200000000002</v>
      </c>
      <c r="P28" s="178">
        <v>0.93220400000000003</v>
      </c>
      <c r="Q28" s="93"/>
      <c r="R28" s="166">
        <v>166.386</v>
      </c>
      <c r="S28" s="166">
        <v>166.386</v>
      </c>
      <c r="T28" s="166"/>
      <c r="U28" s="166">
        <v>166.386</v>
      </c>
      <c r="V28" s="166">
        <v>166.386</v>
      </c>
      <c r="W28" s="2">
        <v>166.386</v>
      </c>
      <c r="X28" s="2">
        <v>166.386</v>
      </c>
      <c r="Y28" s="2">
        <v>166.386</v>
      </c>
      <c r="Z28" s="2">
        <v>166.386</v>
      </c>
    </row>
    <row r="29" spans="1:26" x14ac:dyDescent="0.25">
      <c r="A29" s="138" t="s">
        <v>294</v>
      </c>
      <c r="B29" s="196">
        <v>14</v>
      </c>
      <c r="C29" s="33"/>
      <c r="D29" s="179">
        <v>10.9398</v>
      </c>
      <c r="E29" s="179">
        <v>10.7425</v>
      </c>
      <c r="F29" s="179">
        <v>10.5047</v>
      </c>
      <c r="G29" s="179">
        <v>10.8878</v>
      </c>
      <c r="H29" s="179">
        <v>10.942399999999999</v>
      </c>
      <c r="I29" s="179">
        <v>11.0463</v>
      </c>
      <c r="J29" s="179">
        <v>10.8062</v>
      </c>
      <c r="K29" s="179">
        <v>11.200200000000001</v>
      </c>
      <c r="L29" s="179">
        <v>11.1541</v>
      </c>
      <c r="M29" s="179">
        <v>10.941599999999999</v>
      </c>
      <c r="N29" s="179">
        <v>11.284599999999999</v>
      </c>
      <c r="O29" s="179">
        <v>11.8672</v>
      </c>
      <c r="P29" s="179">
        <v>11.7164</v>
      </c>
      <c r="Q29" s="139"/>
      <c r="R29" s="166">
        <v>9.5121199999999995</v>
      </c>
      <c r="S29" s="166">
        <v>9.2205600000000008</v>
      </c>
      <c r="T29" s="166"/>
      <c r="U29" s="171"/>
      <c r="V29" s="171">
        <v>9.24</v>
      </c>
      <c r="W29" s="2">
        <v>9.25</v>
      </c>
      <c r="X29" s="2">
        <v>9.4700000000000006</v>
      </c>
      <c r="Y29" s="2">
        <v>10.91</v>
      </c>
    </row>
    <row r="30" spans="1:26" x14ac:dyDescent="0.25">
      <c r="A30" s="138" t="s">
        <v>295</v>
      </c>
      <c r="B30" s="196">
        <v>15</v>
      </c>
      <c r="C30" s="33"/>
      <c r="D30" s="179">
        <v>0.75319899999999995</v>
      </c>
      <c r="E30" s="179">
        <v>0.75439699999999998</v>
      </c>
      <c r="F30" s="179">
        <v>0.73134100000000002</v>
      </c>
      <c r="G30" s="179">
        <v>0.72982400000000003</v>
      </c>
      <c r="H30" s="179">
        <v>0.73438999999999999</v>
      </c>
      <c r="I30" s="179">
        <v>0.75829999999999997</v>
      </c>
      <c r="J30" s="179">
        <v>0.75068199999999996</v>
      </c>
      <c r="K30" s="179">
        <v>0.75975499999999996</v>
      </c>
      <c r="L30" s="179">
        <v>0.76956999999999998</v>
      </c>
      <c r="M30" s="179">
        <v>0.79473000000000005</v>
      </c>
      <c r="N30" s="179">
        <v>0.81966000000000006</v>
      </c>
      <c r="O30" s="179">
        <v>0.85243199999999997</v>
      </c>
      <c r="P30" s="179">
        <v>0.84468100000000002</v>
      </c>
      <c r="R30" s="166">
        <v>0.70597799999999999</v>
      </c>
      <c r="S30" s="166">
        <v>0.60197400000000001</v>
      </c>
      <c r="T30" s="166">
        <v>0.69586800000000004</v>
      </c>
      <c r="U30" s="171">
        <v>0.67473399999999994</v>
      </c>
      <c r="V30" s="171">
        <v>0.69109299999999996</v>
      </c>
      <c r="W30" s="171">
        <v>0.67387699999999995</v>
      </c>
      <c r="X30" s="171">
        <v>0.79111799999999999</v>
      </c>
      <c r="Y30" s="171">
        <v>0.85209999999999997</v>
      </c>
      <c r="Z30" s="171">
        <v>0.81744899999999998</v>
      </c>
    </row>
    <row r="31" spans="1:26" x14ac:dyDescent="0.25">
      <c r="A31" s="2" t="s">
        <v>305</v>
      </c>
      <c r="B31" s="197"/>
      <c r="C31" s="170">
        <v>1</v>
      </c>
      <c r="D31" s="167">
        <v>1</v>
      </c>
      <c r="E31" s="167">
        <v>1</v>
      </c>
      <c r="F31" s="167">
        <v>1</v>
      </c>
      <c r="G31" s="167">
        <v>1</v>
      </c>
      <c r="H31" s="167">
        <v>1</v>
      </c>
      <c r="I31" s="167">
        <v>1</v>
      </c>
      <c r="J31" s="167">
        <v>1</v>
      </c>
      <c r="K31" s="167">
        <v>1</v>
      </c>
      <c r="L31" s="167">
        <v>1</v>
      </c>
      <c r="M31" s="167">
        <v>1</v>
      </c>
      <c r="N31" s="167">
        <v>1</v>
      </c>
      <c r="O31" s="167">
        <v>1</v>
      </c>
      <c r="P31" s="167">
        <v>1</v>
      </c>
      <c r="Q31" s="93"/>
      <c r="R31" s="167"/>
      <c r="S31" s="167"/>
      <c r="T31" s="167"/>
      <c r="U31" s="167"/>
      <c r="V31" s="167"/>
      <c r="W31" s="167"/>
      <c r="X31" s="167"/>
      <c r="Y31" s="167"/>
    </row>
    <row r="32" spans="1:26" x14ac:dyDescent="0.25">
      <c r="A32" s="2" t="s">
        <v>594</v>
      </c>
      <c r="B32" s="197"/>
      <c r="C32" s="170"/>
      <c r="D32" s="167">
        <v>1</v>
      </c>
      <c r="E32" s="167">
        <v>1</v>
      </c>
      <c r="F32" s="167">
        <v>1</v>
      </c>
      <c r="G32" s="167">
        <v>1</v>
      </c>
      <c r="H32" s="167">
        <v>1</v>
      </c>
      <c r="I32" s="167">
        <v>1</v>
      </c>
      <c r="J32" s="167">
        <v>1</v>
      </c>
      <c r="K32" s="167">
        <v>1</v>
      </c>
      <c r="L32" s="167">
        <v>1</v>
      </c>
      <c r="M32" s="167">
        <v>1</v>
      </c>
      <c r="N32" s="167">
        <v>1</v>
      </c>
      <c r="O32" s="167">
        <v>1</v>
      </c>
      <c r="P32" s="167">
        <v>1</v>
      </c>
      <c r="Q32" s="92"/>
      <c r="R32" s="167"/>
      <c r="S32" s="167"/>
      <c r="T32" s="167"/>
      <c r="U32" s="167"/>
      <c r="V32" s="2"/>
      <c r="W32" s="2"/>
      <c r="X32" s="2"/>
      <c r="Y32" s="2"/>
    </row>
    <row r="33" spans="1:26" x14ac:dyDescent="0.25">
      <c r="A33" s="2" t="s">
        <v>184</v>
      </c>
      <c r="B33" s="197"/>
      <c r="C33" s="170"/>
      <c r="D33" s="166">
        <v>1.1675500000000001</v>
      </c>
      <c r="E33" s="166">
        <v>1.1558999999999999</v>
      </c>
      <c r="F33" s="166">
        <v>1.1497599999999999</v>
      </c>
      <c r="G33" s="166">
        <v>1.1643699999999999</v>
      </c>
      <c r="H33" s="166">
        <v>1.1700999999999999</v>
      </c>
      <c r="I33" s="166">
        <v>1.18276</v>
      </c>
      <c r="J33" s="166">
        <v>1.18726</v>
      </c>
      <c r="K33" s="166">
        <v>1.19539</v>
      </c>
      <c r="L33" s="166">
        <v>1.22742</v>
      </c>
      <c r="M33" s="166">
        <v>1.23231</v>
      </c>
      <c r="N33" s="166">
        <v>1.2817400000000001</v>
      </c>
      <c r="O33" s="166">
        <v>1.3272600000000001</v>
      </c>
      <c r="P33" s="166">
        <v>1.2964899999999999</v>
      </c>
      <c r="Q33" s="92"/>
      <c r="R33" s="167"/>
      <c r="S33" s="167"/>
      <c r="T33" s="167"/>
      <c r="U33" s="167"/>
      <c r="V33" s="2"/>
      <c r="W33" s="2"/>
      <c r="X33" s="2"/>
      <c r="Y33" s="2"/>
    </row>
    <row r="34" spans="1:26" x14ac:dyDescent="0.25">
      <c r="A34" s="91"/>
      <c r="B34" s="91"/>
      <c r="C34" s="91"/>
      <c r="D34" s="93"/>
      <c r="E34" s="93"/>
      <c r="F34" s="93"/>
      <c r="G34" s="93"/>
      <c r="H34" s="93"/>
      <c r="I34" s="93"/>
      <c r="J34" s="93"/>
      <c r="K34" s="93"/>
      <c r="L34" s="93"/>
      <c r="M34" s="93"/>
      <c r="N34" s="93"/>
      <c r="O34" s="93"/>
      <c r="P34" s="93"/>
      <c r="R34" s="130"/>
      <c r="S34" s="130"/>
      <c r="T34" s="130"/>
      <c r="U34" s="130"/>
    </row>
    <row r="35" spans="1:26" x14ac:dyDescent="0.25">
      <c r="A35" s="90" t="s">
        <v>617</v>
      </c>
      <c r="R35" s="130"/>
      <c r="S35" s="130"/>
      <c r="T35" s="130"/>
      <c r="V35" s="91"/>
    </row>
    <row r="36" spans="1:26" x14ac:dyDescent="0.25">
      <c r="A36" s="192" t="s">
        <v>626</v>
      </c>
      <c r="R36" s="130"/>
      <c r="S36" s="130"/>
      <c r="T36" s="130"/>
      <c r="V36" s="91"/>
    </row>
    <row r="37" spans="1:26" x14ac:dyDescent="0.25">
      <c r="A37" s="193" t="s">
        <v>627</v>
      </c>
      <c r="R37" s="93"/>
      <c r="S37" s="93"/>
      <c r="T37" s="92"/>
      <c r="V37" s="91"/>
    </row>
    <row r="38" spans="1:26" x14ac:dyDescent="0.25">
      <c r="A38" s="129" t="s">
        <v>646</v>
      </c>
      <c r="R38" s="130"/>
      <c r="S38" s="130"/>
      <c r="T38" s="130"/>
      <c r="U38" s="206"/>
      <c r="V38" s="206"/>
      <c r="W38" s="206"/>
      <c r="X38" s="206"/>
      <c r="Y38" s="206"/>
      <c r="Z38" s="206"/>
    </row>
    <row r="39" spans="1:26" x14ac:dyDescent="0.25">
      <c r="R39" s="130"/>
      <c r="S39" s="130"/>
      <c r="T39" s="130"/>
      <c r="V39" s="91"/>
    </row>
    <row r="40" spans="1:26" x14ac:dyDescent="0.25">
      <c r="R40" s="130"/>
      <c r="S40" s="130"/>
      <c r="T40" s="130"/>
      <c r="V40" s="91"/>
    </row>
    <row r="41" spans="1:26" x14ac:dyDescent="0.25">
      <c r="R41" s="130"/>
      <c r="S41" s="130"/>
      <c r="T41" s="130"/>
      <c r="V41" s="91"/>
    </row>
    <row r="42" spans="1:26" x14ac:dyDescent="0.25">
      <c r="R42" s="130"/>
      <c r="S42" s="130"/>
      <c r="T42" s="130"/>
      <c r="V42" s="91"/>
    </row>
    <row r="43" spans="1:26" x14ac:dyDescent="0.25">
      <c r="R43" s="130"/>
      <c r="S43" s="130"/>
      <c r="T43" s="130"/>
      <c r="V43" s="91"/>
    </row>
    <row r="44" spans="1:26" x14ac:dyDescent="0.25">
      <c r="R44" s="130"/>
      <c r="S44" s="130"/>
      <c r="T44" s="130"/>
      <c r="V44" s="91"/>
    </row>
    <row r="45" spans="1:26" x14ac:dyDescent="0.25">
      <c r="R45" s="130"/>
      <c r="S45" s="130"/>
      <c r="T45" s="130"/>
      <c r="V45" s="91"/>
    </row>
    <row r="46" spans="1:26" x14ac:dyDescent="0.25">
      <c r="R46" s="130"/>
      <c r="S46" s="130"/>
      <c r="T46" s="130"/>
      <c r="V46" s="91"/>
    </row>
    <row r="47" spans="1:26" x14ac:dyDescent="0.25">
      <c r="R47" s="93"/>
      <c r="S47" s="93"/>
      <c r="T47" s="92"/>
      <c r="V47" s="91"/>
    </row>
    <row r="48" spans="1:26" x14ac:dyDescent="0.25">
      <c r="R48" s="93"/>
      <c r="S48" s="93"/>
      <c r="T48" s="93"/>
      <c r="V48" s="91"/>
    </row>
    <row r="49" spans="18:22" x14ac:dyDescent="0.25">
      <c r="R49" s="93"/>
      <c r="S49" s="93"/>
      <c r="T49" s="93"/>
      <c r="U49" s="93"/>
      <c r="V49" s="91"/>
    </row>
    <row r="50" spans="18:22" x14ac:dyDescent="0.25">
      <c r="R50" s="93"/>
      <c r="S50" s="93"/>
      <c r="U50" s="93"/>
      <c r="V50" s="138"/>
    </row>
    <row r="51" spans="18:22" x14ac:dyDescent="0.25">
      <c r="R51" s="93"/>
      <c r="S51" s="93"/>
      <c r="T51" s="93"/>
      <c r="U51" s="140"/>
      <c r="V51" s="138"/>
    </row>
    <row r="52" spans="18:22" x14ac:dyDescent="0.25">
      <c r="R52" s="93"/>
      <c r="S52" s="93"/>
      <c r="T52" s="93"/>
      <c r="U52" s="140"/>
      <c r="V52" s="138"/>
    </row>
    <row r="53" spans="18:22" x14ac:dyDescent="0.25">
      <c r="R53" s="130"/>
      <c r="S53" s="130"/>
      <c r="T53" s="130"/>
      <c r="U53" s="130"/>
      <c r="V53" s="91"/>
    </row>
  </sheetData>
  <mergeCells count="2">
    <mergeCell ref="R1:Y1"/>
    <mergeCell ref="R2:Y2"/>
  </mergeCells>
  <phoneticPr fontId="0" type="noConversion"/>
  <conditionalFormatting sqref="V38">
    <cfRule type="cellIs" dxfId="7" priority="5" stopIfTrue="1" operator="notEqual">
      <formula>U38</formula>
    </cfRule>
  </conditionalFormatting>
  <conditionalFormatting sqref="W38">
    <cfRule type="cellIs" dxfId="6" priority="4" stopIfTrue="1" operator="notEqual">
      <formula>U38</formula>
    </cfRule>
  </conditionalFormatting>
  <conditionalFormatting sqref="X38">
    <cfRule type="cellIs" dxfId="5" priority="3" stopIfTrue="1" operator="notEqual">
      <formula>U38</formula>
    </cfRule>
  </conditionalFormatting>
  <conditionalFormatting sqref="Y38">
    <cfRule type="cellIs" dxfId="4" priority="2" stopIfTrue="1" operator="notEqual">
      <formula>U38</formula>
    </cfRule>
  </conditionalFormatting>
  <conditionalFormatting sqref="Z38">
    <cfRule type="cellIs" dxfId="3" priority="1" stopIfTrue="1" operator="notEqual">
      <formula>Y38</formula>
    </cfRule>
  </conditionalFormatting>
  <hyperlinks>
    <hyperlink ref="A37" r:id="rId1" location=" "/>
  </hyperlinks>
  <pageMargins left="0.75" right="0.75" top="1" bottom="1" header="0.5" footer="0.5"/>
  <pageSetup paperSize="9" orientation="portrait"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130"/>
  <sheetViews>
    <sheetView topLeftCell="A3" workbookViewId="0">
      <selection activeCell="K10" sqref="K10"/>
    </sheetView>
  </sheetViews>
  <sheetFormatPr defaultColWidth="10.5546875" defaultRowHeight="11.25" customHeight="1" x14ac:dyDescent="0.2"/>
  <cols>
    <col min="1" max="1" width="15.6640625" style="2" customWidth="1"/>
    <col min="2" max="2" width="10.5546875" style="2" hidden="1" customWidth="1"/>
    <col min="3" max="3" width="6.33203125" style="8" hidden="1" customWidth="1"/>
    <col min="4" max="5" width="9.44140625" style="2" customWidth="1"/>
    <col min="6" max="6" width="10.6640625" style="2" customWidth="1"/>
    <col min="7" max="7" width="9.44140625" style="2" customWidth="1"/>
    <col min="8" max="8" width="10" style="2" customWidth="1"/>
    <col min="9" max="11" width="9.44140625" style="2" customWidth="1"/>
    <col min="12" max="16384" width="10.5546875" style="2"/>
  </cols>
  <sheetData>
    <row r="1" spans="1:8" ht="13.8" x14ac:dyDescent="0.25">
      <c r="A1" s="1" t="s">
        <v>326</v>
      </c>
      <c r="B1" s="1"/>
      <c r="C1" s="44"/>
      <c r="E1" s="1" t="s">
        <v>327</v>
      </c>
      <c r="G1" s="94" t="s">
        <v>296</v>
      </c>
      <c r="H1" s="94" t="s">
        <v>351</v>
      </c>
    </row>
    <row r="2" spans="1:8" ht="11.25" customHeight="1" x14ac:dyDescent="0.2">
      <c r="A2" s="3"/>
      <c r="B2" s="3"/>
      <c r="C2" s="45"/>
      <c r="H2" s="94" t="s">
        <v>347</v>
      </c>
    </row>
    <row r="3" spans="1:8" ht="10.8" thickBot="1" x14ac:dyDescent="0.25">
      <c r="A3" s="4" t="s">
        <v>242</v>
      </c>
      <c r="B3" s="4"/>
      <c r="C3" s="46"/>
    </row>
    <row r="4" spans="1:8" ht="10.8" thickTop="1" x14ac:dyDescent="0.2">
      <c r="A4" s="136" t="s">
        <v>329</v>
      </c>
      <c r="B4" s="136"/>
      <c r="C4" s="136"/>
      <c r="D4" s="136"/>
      <c r="E4" s="136"/>
      <c r="F4" s="65"/>
      <c r="G4" s="65"/>
      <c r="H4" s="65"/>
    </row>
    <row r="5" spans="1:8" s="72" customFormat="1" ht="10.199999999999999" x14ac:dyDescent="0.2">
      <c r="A5" s="73"/>
      <c r="B5" s="74"/>
      <c r="C5" s="75"/>
      <c r="D5" s="67"/>
      <c r="E5" s="76" t="s">
        <v>240</v>
      </c>
      <c r="F5" s="77"/>
      <c r="G5" s="77"/>
      <c r="H5" s="77"/>
    </row>
    <row r="6" spans="1:8" ht="11.25" customHeight="1" x14ac:dyDescent="0.2">
      <c r="A6" s="214" t="s">
        <v>341</v>
      </c>
      <c r="B6" s="214"/>
      <c r="C6" s="214"/>
      <c r="D6" s="214"/>
      <c r="E6" s="66" t="s">
        <v>352</v>
      </c>
    </row>
    <row r="7" spans="1:8" ht="11.25" customHeight="1" x14ac:dyDescent="0.2">
      <c r="A7" s="215" t="s">
        <v>343</v>
      </c>
      <c r="B7" s="215"/>
      <c r="C7" s="215"/>
      <c r="D7" s="215"/>
      <c r="E7" s="66" t="s">
        <v>353</v>
      </c>
    </row>
    <row r="8" spans="1:8" ht="11.25" customHeight="1" x14ac:dyDescent="0.2">
      <c r="A8" s="215" t="s">
        <v>342</v>
      </c>
      <c r="B8" s="215"/>
      <c r="C8" s="215"/>
      <c r="D8" s="215"/>
      <c r="E8" s="66" t="s">
        <v>354</v>
      </c>
    </row>
    <row r="9" spans="1:8" ht="11.25" customHeight="1" x14ac:dyDescent="0.2">
      <c r="A9" s="216" t="s">
        <v>345</v>
      </c>
      <c r="B9" s="216"/>
      <c r="C9" s="216"/>
      <c r="D9" s="216"/>
      <c r="E9" s="66" t="s">
        <v>355</v>
      </c>
    </row>
    <row r="10" spans="1:8" ht="11.25" customHeight="1" x14ac:dyDescent="0.2">
      <c r="A10" s="215" t="s">
        <v>344</v>
      </c>
      <c r="B10" s="215"/>
      <c r="C10" s="215"/>
      <c r="D10" s="215"/>
      <c r="E10" s="35" t="s">
        <v>356</v>
      </c>
    </row>
    <row r="11" spans="1:8" ht="10.199999999999999" x14ac:dyDescent="0.2">
      <c r="A11" s="213" t="s">
        <v>203</v>
      </c>
      <c r="B11" s="213"/>
      <c r="C11" s="213"/>
      <c r="D11" s="213"/>
      <c r="E11" s="213"/>
      <c r="F11" s="78"/>
      <c r="G11" s="78"/>
      <c r="H11" s="78"/>
    </row>
    <row r="12" spans="1:8" ht="10.199999999999999" x14ac:dyDescent="0.2">
      <c r="A12" s="73"/>
      <c r="B12" s="74"/>
      <c r="C12" s="75"/>
      <c r="D12" s="67"/>
      <c r="E12" s="70" t="s">
        <v>266</v>
      </c>
      <c r="F12" s="70"/>
      <c r="G12" s="70"/>
      <c r="H12" s="70"/>
    </row>
    <row r="13" spans="1:8" ht="12" customHeight="1" x14ac:dyDescent="0.2">
      <c r="A13" s="165" t="s">
        <v>246</v>
      </c>
      <c r="B13" s="157" t="s">
        <v>349</v>
      </c>
      <c r="C13" s="159" t="s">
        <v>357</v>
      </c>
      <c r="D13" s="155"/>
      <c r="E13" s="163" t="s">
        <v>358</v>
      </c>
      <c r="F13" s="82"/>
      <c r="H13" s="71"/>
    </row>
    <row r="14" spans="1:8" ht="12" customHeight="1" thickBot="1" x14ac:dyDescent="0.25">
      <c r="A14" s="164" t="s">
        <v>241</v>
      </c>
      <c r="B14" s="158" t="s">
        <v>350</v>
      </c>
      <c r="C14" s="158" t="s">
        <v>359</v>
      </c>
      <c r="D14" s="144"/>
      <c r="E14" s="137" t="s">
        <v>360</v>
      </c>
      <c r="F14" s="79"/>
      <c r="G14" s="81"/>
      <c r="H14" s="79"/>
    </row>
    <row r="15" spans="1:8" ht="10.8" thickTop="1" x14ac:dyDescent="0.2">
      <c r="A15" s="69"/>
      <c r="B15" s="69"/>
      <c r="C15" s="69"/>
      <c r="D15" s="69"/>
      <c r="E15" s="68"/>
    </row>
    <row r="16" spans="1:8" ht="11.25" hidden="1" customHeight="1" x14ac:dyDescent="0.2">
      <c r="A16" s="3"/>
      <c r="B16" s="3"/>
      <c r="C16" s="45"/>
    </row>
    <row r="17" spans="1:12" ht="11.25" hidden="1" customHeight="1" x14ac:dyDescent="0.2">
      <c r="A17" s="3"/>
      <c r="B17" s="3"/>
      <c r="C17" s="45"/>
    </row>
    <row r="18" spans="1:12" ht="11.25" hidden="1" customHeight="1" x14ac:dyDescent="0.2">
      <c r="A18" s="3"/>
      <c r="B18" s="3"/>
      <c r="C18" s="45"/>
    </row>
    <row r="19" spans="1:12" ht="11.25" hidden="1" customHeight="1" x14ac:dyDescent="0.2">
      <c r="A19" s="3"/>
      <c r="B19" s="3"/>
      <c r="C19" s="45"/>
    </row>
    <row r="20" spans="1:12" ht="11.25" hidden="1" customHeight="1" x14ac:dyDescent="0.2">
      <c r="A20" s="3"/>
      <c r="B20" s="3"/>
      <c r="C20" s="45"/>
    </row>
    <row r="21" spans="1:12" ht="10.8" thickBot="1" x14ac:dyDescent="0.25">
      <c r="A21" s="4" t="str">
        <f>CONCATENATE("Table 2. Mean of Income and Income-Components per Decile Group, ",IF($L$49=1,"euros","national currency"))</f>
        <v>Table 2. Mean of Income and Income-Components per Decile Group, national currency</v>
      </c>
      <c r="B21" s="4"/>
      <c r="C21" s="46"/>
      <c r="H21" s="4"/>
      <c r="J21" s="175" t="s">
        <v>606</v>
      </c>
      <c r="K21" s="131" t="s">
        <v>604</v>
      </c>
      <c r="L21" s="176" t="s">
        <v>4</v>
      </c>
    </row>
    <row r="22" spans="1:12" ht="21" thickTop="1" x14ac:dyDescent="0.2">
      <c r="A22" s="5" t="s">
        <v>244</v>
      </c>
      <c r="B22" s="5"/>
      <c r="C22" s="47"/>
      <c r="D22" s="5" t="s">
        <v>245</v>
      </c>
      <c r="E22" s="5" t="s">
        <v>246</v>
      </c>
      <c r="F22" s="6" t="s">
        <v>247</v>
      </c>
      <c r="G22" s="5" t="s">
        <v>248</v>
      </c>
      <c r="H22" s="5" t="s">
        <v>249</v>
      </c>
      <c r="I22" s="5" t="s">
        <v>250</v>
      </c>
      <c r="J22" s="5" t="s">
        <v>251</v>
      </c>
      <c r="K22" s="5" t="s">
        <v>252</v>
      </c>
    </row>
    <row r="23" spans="1:12" ht="11.25" hidden="1" customHeight="1" x14ac:dyDescent="0.25">
      <c r="A23" s="150" t="s">
        <v>264</v>
      </c>
      <c r="B23" s="151" t="s">
        <v>265</v>
      </c>
      <c r="C23" s="152" t="s">
        <v>200</v>
      </c>
      <c r="D23" s="151" t="s">
        <v>611</v>
      </c>
      <c r="E23" s="151" t="s">
        <v>612</v>
      </c>
      <c r="F23" s="151" t="s">
        <v>201</v>
      </c>
      <c r="G23" s="151" t="s">
        <v>613</v>
      </c>
      <c r="H23" s="151" t="s">
        <v>614</v>
      </c>
      <c r="I23" s="151" t="s">
        <v>202</v>
      </c>
      <c r="J23" s="151" t="s">
        <v>615</v>
      </c>
      <c r="K23" s="151" t="s">
        <v>616</v>
      </c>
    </row>
    <row r="24" spans="1:12" ht="11.25" hidden="1" customHeight="1" x14ac:dyDescent="0.2">
      <c r="A24" s="153" t="s">
        <v>361</v>
      </c>
      <c r="B24" s="153" t="s">
        <v>362</v>
      </c>
      <c r="C24" s="153" t="s">
        <v>363</v>
      </c>
      <c r="D24" s="153" t="s">
        <v>364</v>
      </c>
      <c r="E24" s="153" t="s">
        <v>365</v>
      </c>
      <c r="F24" s="153" t="s">
        <v>366</v>
      </c>
      <c r="G24" s="153" t="s">
        <v>367</v>
      </c>
      <c r="H24" s="153" t="s">
        <v>368</v>
      </c>
      <c r="I24" s="153" t="s">
        <v>369</v>
      </c>
      <c r="J24" s="153" t="s">
        <v>370</v>
      </c>
      <c r="K24" s="153" t="s">
        <v>371</v>
      </c>
    </row>
    <row r="25" spans="1:12" ht="11.25" customHeight="1" x14ac:dyDescent="0.2">
      <c r="A25" s="7">
        <v>1</v>
      </c>
      <c r="B25" s="7">
        <v>1</v>
      </c>
      <c r="C25" s="145" t="s">
        <v>372</v>
      </c>
      <c r="D25" s="8" t="s">
        <v>5</v>
      </c>
      <c r="E25" s="8" t="s">
        <v>6</v>
      </c>
      <c r="F25" s="8" t="s">
        <v>7</v>
      </c>
      <c r="G25" s="8" t="s">
        <v>8</v>
      </c>
      <c r="H25" s="8" t="s">
        <v>9</v>
      </c>
      <c r="I25" s="8" t="s">
        <v>10</v>
      </c>
      <c r="J25" s="9" t="s">
        <v>11</v>
      </c>
      <c r="K25" s="9" t="s">
        <v>12</v>
      </c>
    </row>
    <row r="26" spans="1:12" ht="11.25" customHeight="1" x14ac:dyDescent="0.2">
      <c r="A26" s="7">
        <v>2</v>
      </c>
      <c r="B26" s="7">
        <v>0</v>
      </c>
      <c r="C26" s="145" t="s">
        <v>373</v>
      </c>
      <c r="D26" s="8" t="s">
        <v>13</v>
      </c>
      <c r="E26" s="8" t="s">
        <v>14</v>
      </c>
      <c r="F26" s="8" t="s">
        <v>15</v>
      </c>
      <c r="G26" s="8" t="s">
        <v>16</v>
      </c>
      <c r="H26" s="8" t="s">
        <v>17</v>
      </c>
      <c r="I26" s="8" t="s">
        <v>18</v>
      </c>
      <c r="J26" s="9" t="s">
        <v>19</v>
      </c>
      <c r="K26" s="9" t="s">
        <v>20</v>
      </c>
    </row>
    <row r="27" spans="1:12" ht="11.25" customHeight="1" x14ac:dyDescent="0.2">
      <c r="A27" s="7">
        <v>3</v>
      </c>
      <c r="B27" s="7"/>
      <c r="C27" s="145" t="s">
        <v>374</v>
      </c>
      <c r="D27" s="8" t="s">
        <v>21</v>
      </c>
      <c r="E27" s="8" t="s">
        <v>22</v>
      </c>
      <c r="F27" s="8" t="s">
        <v>23</v>
      </c>
      <c r="G27" s="8" t="s">
        <v>24</v>
      </c>
      <c r="H27" s="8" t="s">
        <v>25</v>
      </c>
      <c r="I27" s="8" t="s">
        <v>26</v>
      </c>
      <c r="J27" s="9" t="s">
        <v>27</v>
      </c>
      <c r="K27" s="9" t="s">
        <v>28</v>
      </c>
    </row>
    <row r="28" spans="1:12" ht="11.25" customHeight="1" x14ac:dyDescent="0.2">
      <c r="A28" s="7">
        <v>4</v>
      </c>
      <c r="B28" s="7"/>
      <c r="C28" s="145" t="s">
        <v>375</v>
      </c>
      <c r="D28" s="8" t="s">
        <v>29</v>
      </c>
      <c r="E28" s="8" t="s">
        <v>30</v>
      </c>
      <c r="F28" s="8" t="s">
        <v>31</v>
      </c>
      <c r="G28" s="8" t="s">
        <v>32</v>
      </c>
      <c r="H28" s="8" t="s">
        <v>33</v>
      </c>
      <c r="I28" s="8" t="s">
        <v>34</v>
      </c>
      <c r="J28" s="9" t="s">
        <v>35</v>
      </c>
      <c r="K28" s="9" t="s">
        <v>36</v>
      </c>
    </row>
    <row r="29" spans="1:12" ht="11.25" customHeight="1" x14ac:dyDescent="0.2">
      <c r="A29" s="7">
        <v>5</v>
      </c>
      <c r="B29" s="7"/>
      <c r="C29" s="145" t="s">
        <v>376</v>
      </c>
      <c r="D29" s="8" t="s">
        <v>37</v>
      </c>
      <c r="E29" s="8" t="s">
        <v>38</v>
      </c>
      <c r="F29" s="8" t="s">
        <v>39</v>
      </c>
      <c r="G29" s="8" t="s">
        <v>40</v>
      </c>
      <c r="H29" s="8" t="s">
        <v>41</v>
      </c>
      <c r="I29" s="8" t="s">
        <v>42</v>
      </c>
      <c r="J29" s="9" t="s">
        <v>43</v>
      </c>
      <c r="K29" s="9" t="s">
        <v>44</v>
      </c>
    </row>
    <row r="30" spans="1:12" ht="11.25" customHeight="1" x14ac:dyDescent="0.2">
      <c r="A30" s="7">
        <v>6</v>
      </c>
      <c r="B30" s="7"/>
      <c r="C30" s="145" t="s">
        <v>377</v>
      </c>
      <c r="D30" s="8" t="s">
        <v>45</v>
      </c>
      <c r="E30" s="8" t="s">
        <v>46</v>
      </c>
      <c r="F30" s="8" t="s">
        <v>47</v>
      </c>
      <c r="G30" s="8" t="s">
        <v>48</v>
      </c>
      <c r="H30" s="8" t="s">
        <v>49</v>
      </c>
      <c r="I30" s="8" t="s">
        <v>50</v>
      </c>
      <c r="J30" s="9" t="s">
        <v>51</v>
      </c>
      <c r="K30" s="9" t="s">
        <v>52</v>
      </c>
    </row>
    <row r="31" spans="1:12" ht="11.25" customHeight="1" x14ac:dyDescent="0.2">
      <c r="A31" s="7">
        <v>7</v>
      </c>
      <c r="B31" s="7"/>
      <c r="C31" s="145" t="s">
        <v>378</v>
      </c>
      <c r="D31" s="8" t="s">
        <v>53</v>
      </c>
      <c r="E31" s="8" t="s">
        <v>54</v>
      </c>
      <c r="F31" s="8" t="s">
        <v>55</v>
      </c>
      <c r="G31" s="8" t="s">
        <v>56</v>
      </c>
      <c r="H31" s="8" t="s">
        <v>57</v>
      </c>
      <c r="I31" s="8" t="s">
        <v>58</v>
      </c>
      <c r="J31" s="9" t="s">
        <v>59</v>
      </c>
      <c r="K31" s="9" t="s">
        <v>60</v>
      </c>
    </row>
    <row r="32" spans="1:12" ht="11.25" customHeight="1" x14ac:dyDescent="0.2">
      <c r="A32" s="7">
        <v>8</v>
      </c>
      <c r="B32" s="7"/>
      <c r="C32" s="145" t="s">
        <v>379</v>
      </c>
      <c r="D32" s="8" t="s">
        <v>61</v>
      </c>
      <c r="E32" s="8" t="s">
        <v>62</v>
      </c>
      <c r="F32" s="8" t="s">
        <v>63</v>
      </c>
      <c r="G32" s="8" t="s">
        <v>64</v>
      </c>
      <c r="H32" s="8" t="s">
        <v>65</v>
      </c>
      <c r="I32" s="8" t="s">
        <v>66</v>
      </c>
      <c r="J32" s="9" t="s">
        <v>67</v>
      </c>
      <c r="K32" s="9" t="s">
        <v>68</v>
      </c>
    </row>
    <row r="33" spans="1:20" ht="11.25" customHeight="1" x14ac:dyDescent="0.2">
      <c r="A33" s="7">
        <v>9</v>
      </c>
      <c r="B33" s="7"/>
      <c r="C33" s="145" t="s">
        <v>380</v>
      </c>
      <c r="D33" s="8" t="s">
        <v>69</v>
      </c>
      <c r="E33" s="8" t="s">
        <v>70</v>
      </c>
      <c r="F33" s="8" t="s">
        <v>71</v>
      </c>
      <c r="G33" s="8" t="s">
        <v>72</v>
      </c>
      <c r="H33" s="8" t="s">
        <v>73</v>
      </c>
      <c r="I33" s="8" t="s">
        <v>74</v>
      </c>
      <c r="J33" s="9" t="s">
        <v>75</v>
      </c>
      <c r="K33" s="9" t="s">
        <v>76</v>
      </c>
    </row>
    <row r="34" spans="1:20" s="4" customFormat="1" ht="11.25" customHeight="1" x14ac:dyDescent="0.2">
      <c r="A34" s="7">
        <v>10</v>
      </c>
      <c r="B34" s="7"/>
      <c r="C34" s="145" t="s">
        <v>381</v>
      </c>
      <c r="D34" s="8" t="s">
        <v>77</v>
      </c>
      <c r="E34" s="8" t="s">
        <v>78</v>
      </c>
      <c r="F34" s="8" t="s">
        <v>79</v>
      </c>
      <c r="G34" s="8" t="s">
        <v>80</v>
      </c>
      <c r="H34" s="8" t="s">
        <v>81</v>
      </c>
      <c r="I34" s="8" t="s">
        <v>82</v>
      </c>
      <c r="J34" s="9" t="s">
        <v>83</v>
      </c>
      <c r="K34" s="9" t="s">
        <v>84</v>
      </c>
      <c r="M34" s="2"/>
      <c r="N34" s="2"/>
      <c r="O34" s="2"/>
      <c r="P34" s="2"/>
      <c r="Q34" s="2"/>
      <c r="R34" s="2"/>
      <c r="S34" s="2"/>
      <c r="T34" s="2"/>
    </row>
    <row r="35" spans="1:20" ht="11.25" customHeight="1" x14ac:dyDescent="0.2">
      <c r="A35" s="10" t="s">
        <v>253</v>
      </c>
      <c r="B35" s="10">
        <v>0</v>
      </c>
      <c r="C35" s="146" t="s">
        <v>382</v>
      </c>
      <c r="D35" s="148" t="s">
        <v>85</v>
      </c>
      <c r="E35" s="148" t="s">
        <v>86</v>
      </c>
      <c r="F35" s="148" t="s">
        <v>87</v>
      </c>
      <c r="G35" s="148" t="s">
        <v>88</v>
      </c>
      <c r="H35" s="148" t="s">
        <v>89</v>
      </c>
      <c r="I35" s="148" t="s">
        <v>90</v>
      </c>
      <c r="J35" s="149" t="s">
        <v>91</v>
      </c>
      <c r="K35" s="149" t="s">
        <v>92</v>
      </c>
    </row>
    <row r="36" spans="1:20" s="23" customFormat="1" ht="11.25" customHeight="1" thickBot="1" x14ac:dyDescent="0.25">
      <c r="A36" s="13" t="s">
        <v>254</v>
      </c>
      <c r="B36" s="13">
        <v>1</v>
      </c>
      <c r="C36" s="147" t="s">
        <v>383</v>
      </c>
      <c r="D36" s="14" t="s">
        <v>93</v>
      </c>
      <c r="E36" s="14" t="s">
        <v>94</v>
      </c>
      <c r="F36" s="14" t="s">
        <v>95</v>
      </c>
      <c r="G36" s="14" t="s">
        <v>96</v>
      </c>
      <c r="H36" s="14" t="s">
        <v>97</v>
      </c>
      <c r="I36" s="14" t="s">
        <v>98</v>
      </c>
      <c r="J36" s="20" t="s">
        <v>99</v>
      </c>
      <c r="K36" s="20" t="s">
        <v>100</v>
      </c>
      <c r="M36" s="2"/>
      <c r="N36" s="2"/>
      <c r="O36" s="2"/>
      <c r="P36" s="2"/>
      <c r="Q36" s="2"/>
      <c r="R36" s="2"/>
      <c r="S36" s="2"/>
      <c r="T36" s="2"/>
    </row>
    <row r="37" spans="1:20" ht="10.8" thickTop="1" x14ac:dyDescent="0.2">
      <c r="A37" s="16"/>
      <c r="B37" s="16"/>
      <c r="C37" s="49"/>
      <c r="D37" s="17"/>
      <c r="E37" s="17"/>
      <c r="F37" s="17"/>
      <c r="G37" s="4"/>
      <c r="H37" s="17"/>
      <c r="I37" s="17"/>
    </row>
    <row r="38" spans="1:20" s="19" customFormat="1" ht="10.8" thickBot="1" x14ac:dyDescent="0.25">
      <c r="A38" s="4" t="s">
        <v>313</v>
      </c>
      <c r="B38" s="4"/>
      <c r="C38" s="46"/>
      <c r="D38" s="2"/>
      <c r="E38" s="2"/>
      <c r="F38" s="2"/>
      <c r="G38" s="2"/>
      <c r="H38" s="2"/>
      <c r="I38" s="2"/>
      <c r="J38" s="2"/>
      <c r="K38" s="2"/>
    </row>
    <row r="39" spans="1:20" ht="21" thickTop="1" x14ac:dyDescent="0.2">
      <c r="A39" s="18" t="s">
        <v>244</v>
      </c>
      <c r="B39" s="18"/>
      <c r="C39" s="50"/>
      <c r="D39" s="5" t="s">
        <v>245</v>
      </c>
      <c r="E39" s="5" t="s">
        <v>246</v>
      </c>
      <c r="F39" s="6" t="s">
        <v>255</v>
      </c>
      <c r="G39" s="5" t="s">
        <v>248</v>
      </c>
      <c r="H39" s="5" t="s">
        <v>249</v>
      </c>
      <c r="I39" s="5" t="s">
        <v>250</v>
      </c>
      <c r="J39" s="5" t="s">
        <v>251</v>
      </c>
      <c r="K39" s="5" t="s">
        <v>252</v>
      </c>
    </row>
    <row r="40" spans="1:20" ht="11.25" customHeight="1" x14ac:dyDescent="0.2">
      <c r="A40" s="7">
        <v>1</v>
      </c>
      <c r="B40" s="7"/>
      <c r="C40" s="39"/>
      <c r="D40" s="55" t="s">
        <v>112</v>
      </c>
      <c r="E40" s="55" t="s">
        <v>113</v>
      </c>
      <c r="F40" s="55" t="s">
        <v>114</v>
      </c>
      <c r="G40" s="55" t="s">
        <v>115</v>
      </c>
      <c r="H40" s="55" t="s">
        <v>116</v>
      </c>
      <c r="I40" s="55" t="s">
        <v>117</v>
      </c>
      <c r="J40" s="56" t="s">
        <v>206</v>
      </c>
      <c r="K40" s="56" t="s">
        <v>207</v>
      </c>
    </row>
    <row r="41" spans="1:20" ht="11.25" customHeight="1" x14ac:dyDescent="0.2">
      <c r="A41" s="7">
        <v>2</v>
      </c>
      <c r="B41" s="7"/>
      <c r="C41" s="39"/>
      <c r="D41" s="55" t="s">
        <v>118</v>
      </c>
      <c r="E41" s="55" t="s">
        <v>119</v>
      </c>
      <c r="F41" s="55" t="s">
        <v>120</v>
      </c>
      <c r="G41" s="55" t="s">
        <v>121</v>
      </c>
      <c r="H41" s="55" t="s">
        <v>122</v>
      </c>
      <c r="I41" s="55" t="s">
        <v>123</v>
      </c>
      <c r="J41" s="56" t="s">
        <v>208</v>
      </c>
      <c r="K41" s="56" t="s">
        <v>209</v>
      </c>
    </row>
    <row r="42" spans="1:20" ht="11.25" customHeight="1" x14ac:dyDescent="0.2">
      <c r="A42" s="7">
        <v>3</v>
      </c>
      <c r="B42" s="7"/>
      <c r="C42" s="39"/>
      <c r="D42" s="55" t="s">
        <v>124</v>
      </c>
      <c r="E42" s="55" t="s">
        <v>125</v>
      </c>
      <c r="F42" s="55" t="s">
        <v>126</v>
      </c>
      <c r="G42" s="55" t="s">
        <v>127</v>
      </c>
      <c r="H42" s="55" t="s">
        <v>128</v>
      </c>
      <c r="I42" s="55" t="s">
        <v>129</v>
      </c>
      <c r="J42" s="56" t="s">
        <v>210</v>
      </c>
      <c r="K42" s="56" t="s">
        <v>211</v>
      </c>
    </row>
    <row r="43" spans="1:20" ht="11.25" customHeight="1" x14ac:dyDescent="0.2">
      <c r="A43" s="7">
        <v>4</v>
      </c>
      <c r="B43" s="7"/>
      <c r="C43" s="39"/>
      <c r="D43" s="55" t="s">
        <v>130</v>
      </c>
      <c r="E43" s="55" t="s">
        <v>131</v>
      </c>
      <c r="F43" s="55" t="s">
        <v>132</v>
      </c>
      <c r="G43" s="55" t="s">
        <v>133</v>
      </c>
      <c r="H43" s="55" t="s">
        <v>134</v>
      </c>
      <c r="I43" s="55" t="s">
        <v>135</v>
      </c>
      <c r="J43" s="56" t="s">
        <v>212</v>
      </c>
      <c r="K43" s="56" t="s">
        <v>213</v>
      </c>
    </row>
    <row r="44" spans="1:20" ht="11.25" customHeight="1" x14ac:dyDescent="0.2">
      <c r="A44" s="7">
        <v>5</v>
      </c>
      <c r="B44" s="7"/>
      <c r="C44" s="39"/>
      <c r="D44" s="55" t="s">
        <v>136</v>
      </c>
      <c r="E44" s="55" t="s">
        <v>137</v>
      </c>
      <c r="F44" s="55" t="s">
        <v>138</v>
      </c>
      <c r="G44" s="55" t="s">
        <v>139</v>
      </c>
      <c r="H44" s="55" t="s">
        <v>140</v>
      </c>
      <c r="I44" s="55" t="s">
        <v>141</v>
      </c>
      <c r="J44" s="56" t="s">
        <v>214</v>
      </c>
      <c r="K44" s="56" t="s">
        <v>215</v>
      </c>
    </row>
    <row r="45" spans="1:20" ht="11.25" customHeight="1" x14ac:dyDescent="0.2">
      <c r="A45" s="7">
        <v>6</v>
      </c>
      <c r="B45" s="7"/>
      <c r="C45" s="39"/>
      <c r="D45" s="55" t="s">
        <v>142</v>
      </c>
      <c r="E45" s="55" t="s">
        <v>143</v>
      </c>
      <c r="F45" s="55" t="s">
        <v>144</v>
      </c>
      <c r="G45" s="55" t="s">
        <v>145</v>
      </c>
      <c r="H45" s="55" t="s">
        <v>146</v>
      </c>
      <c r="I45" s="55" t="s">
        <v>147</v>
      </c>
      <c r="J45" s="56" t="s">
        <v>216</v>
      </c>
      <c r="K45" s="56" t="s">
        <v>217</v>
      </c>
    </row>
    <row r="46" spans="1:20" ht="11.25" customHeight="1" x14ac:dyDescent="0.2">
      <c r="A46" s="7">
        <v>7</v>
      </c>
      <c r="B46" s="7"/>
      <c r="C46" s="39"/>
      <c r="D46" s="55" t="s">
        <v>148</v>
      </c>
      <c r="E46" s="55" t="s">
        <v>149</v>
      </c>
      <c r="F46" s="55" t="s">
        <v>150</v>
      </c>
      <c r="G46" s="55" t="s">
        <v>151</v>
      </c>
      <c r="H46" s="55" t="s">
        <v>152</v>
      </c>
      <c r="I46" s="55" t="s">
        <v>153</v>
      </c>
      <c r="J46" s="56" t="s">
        <v>218</v>
      </c>
      <c r="K46" s="56" t="s">
        <v>219</v>
      </c>
      <c r="L46" s="131" t="s">
        <v>603</v>
      </c>
    </row>
    <row r="47" spans="1:20" ht="11.25" customHeight="1" x14ac:dyDescent="0.2">
      <c r="A47" s="7">
        <v>8</v>
      </c>
      <c r="B47" s="7"/>
      <c r="C47" s="39"/>
      <c r="D47" s="55" t="s">
        <v>154</v>
      </c>
      <c r="E47" s="55" t="s">
        <v>155</v>
      </c>
      <c r="F47" s="55" t="s">
        <v>156</v>
      </c>
      <c r="G47" s="55" t="s">
        <v>157</v>
      </c>
      <c r="H47" s="55" t="s">
        <v>158</v>
      </c>
      <c r="I47" s="55" t="s">
        <v>159</v>
      </c>
      <c r="J47" s="56" t="s">
        <v>220</v>
      </c>
      <c r="K47" s="56" t="s">
        <v>221</v>
      </c>
      <c r="L47" s="131"/>
      <c r="M47" s="8"/>
    </row>
    <row r="48" spans="1:20" ht="11.25" customHeight="1" x14ac:dyDescent="0.2">
      <c r="A48" s="7">
        <v>9</v>
      </c>
      <c r="B48" s="7"/>
      <c r="C48" s="39"/>
      <c r="D48" s="55" t="s">
        <v>160</v>
      </c>
      <c r="E48" s="55" t="s">
        <v>161</v>
      </c>
      <c r="F48" s="55" t="s">
        <v>162</v>
      </c>
      <c r="G48" s="55" t="s">
        <v>163</v>
      </c>
      <c r="H48" s="55" t="s">
        <v>164</v>
      </c>
      <c r="I48" s="55" t="s">
        <v>165</v>
      </c>
      <c r="J48" s="56" t="s">
        <v>222</v>
      </c>
      <c r="K48" s="56" t="s">
        <v>223</v>
      </c>
      <c r="M48" s="8"/>
    </row>
    <row r="49" spans="1:14" s="4" customFormat="1" ht="11.25" customHeight="1" x14ac:dyDescent="0.2">
      <c r="A49" s="7">
        <v>10</v>
      </c>
      <c r="B49" s="7"/>
      <c r="C49" s="39"/>
      <c r="D49" s="55" t="s">
        <v>166</v>
      </c>
      <c r="E49" s="55" t="s">
        <v>167</v>
      </c>
      <c r="F49" s="55" t="s">
        <v>168</v>
      </c>
      <c r="G49" s="55" t="s">
        <v>169</v>
      </c>
      <c r="H49" s="55" t="s">
        <v>170</v>
      </c>
      <c r="I49" s="55" t="s">
        <v>171</v>
      </c>
      <c r="J49" s="56" t="s">
        <v>224</v>
      </c>
      <c r="K49" s="56" t="s">
        <v>225</v>
      </c>
      <c r="L49" s="94"/>
      <c r="M49" s="8"/>
      <c r="N49" s="2"/>
    </row>
    <row r="50" spans="1:14" ht="11.25" customHeight="1" x14ac:dyDescent="0.2">
      <c r="A50" s="10" t="s">
        <v>253</v>
      </c>
      <c r="B50" s="10"/>
      <c r="C50" s="40"/>
      <c r="D50" s="57" t="s">
        <v>172</v>
      </c>
      <c r="E50" s="57" t="s">
        <v>173</v>
      </c>
      <c r="F50" s="57" t="s">
        <v>174</v>
      </c>
      <c r="G50" s="57" t="s">
        <v>175</v>
      </c>
      <c r="H50" s="57" t="s">
        <v>176</v>
      </c>
      <c r="I50" s="57" t="s">
        <v>177</v>
      </c>
      <c r="J50" s="58" t="s">
        <v>226</v>
      </c>
      <c r="K50" s="58" t="s">
        <v>227</v>
      </c>
      <c r="L50" s="94"/>
      <c r="M50" s="8"/>
    </row>
    <row r="51" spans="1:14" s="23" customFormat="1" ht="11.25" customHeight="1" thickBot="1" x14ac:dyDescent="0.25">
      <c r="A51" s="13" t="s">
        <v>254</v>
      </c>
      <c r="B51" s="13"/>
      <c r="C51" s="41"/>
      <c r="D51" s="59" t="s">
        <v>178</v>
      </c>
      <c r="E51" s="59" t="s">
        <v>179</v>
      </c>
      <c r="F51" s="59" t="s">
        <v>180</v>
      </c>
      <c r="G51" s="59" t="s">
        <v>181</v>
      </c>
      <c r="H51" s="59" t="s">
        <v>182</v>
      </c>
      <c r="I51" s="59" t="s">
        <v>183</v>
      </c>
      <c r="J51" s="60" t="s">
        <v>384</v>
      </c>
      <c r="K51" s="60" t="s">
        <v>385</v>
      </c>
      <c r="L51" s="94" t="s">
        <v>186</v>
      </c>
    </row>
    <row r="52" spans="1:14" s="4" customFormat="1" ht="11.25" customHeight="1" thickTop="1" x14ac:dyDescent="0.2">
      <c r="A52" s="21"/>
      <c r="B52" s="21"/>
      <c r="C52" s="51"/>
      <c r="D52" s="22"/>
      <c r="G52" s="24"/>
      <c r="H52" s="175"/>
      <c r="I52" s="131"/>
      <c r="J52" s="175" t="s">
        <v>605</v>
      </c>
      <c r="K52" s="180" t="s">
        <v>111</v>
      </c>
      <c r="L52" s="176" t="s">
        <v>3</v>
      </c>
      <c r="M52" s="185"/>
      <c r="N52" s="168"/>
    </row>
    <row r="53" spans="1:14" s="19" customFormat="1" ht="10.8" thickBot="1" x14ac:dyDescent="0.25">
      <c r="A53" s="25" t="s">
        <v>314</v>
      </c>
      <c r="B53" s="25"/>
      <c r="C53" s="52"/>
      <c r="D53" s="17"/>
      <c r="E53" s="17"/>
      <c r="F53" s="17"/>
      <c r="G53" s="17"/>
      <c r="H53" s="17"/>
      <c r="I53" s="17"/>
      <c r="J53" s="17"/>
      <c r="N53" s="168"/>
    </row>
    <row r="54" spans="1:14" ht="21" thickTop="1" x14ac:dyDescent="0.2">
      <c r="A54" s="18" t="s">
        <v>244</v>
      </c>
      <c r="B54" s="18"/>
      <c r="C54" s="50"/>
      <c r="D54" s="5" t="s">
        <v>245</v>
      </c>
      <c r="E54" s="5" t="s">
        <v>246</v>
      </c>
      <c r="F54" s="6" t="s">
        <v>255</v>
      </c>
      <c r="G54" s="5" t="s">
        <v>248</v>
      </c>
      <c r="H54" s="5" t="s">
        <v>249</v>
      </c>
      <c r="I54" s="5" t="s">
        <v>250</v>
      </c>
      <c r="J54" s="19"/>
      <c r="K54" s="19"/>
    </row>
    <row r="55" spans="1:14" ht="11.25" customHeight="1" x14ac:dyDescent="0.2">
      <c r="A55" s="26">
        <v>1</v>
      </c>
      <c r="B55" s="26"/>
      <c r="C55" s="53"/>
      <c r="D55" s="27" t="s">
        <v>386</v>
      </c>
      <c r="E55" s="27" t="s">
        <v>387</v>
      </c>
      <c r="F55" s="27" t="s">
        <v>388</v>
      </c>
      <c r="G55" s="27" t="s">
        <v>389</v>
      </c>
      <c r="H55" s="27" t="s">
        <v>390</v>
      </c>
      <c r="I55" s="27" t="s">
        <v>391</v>
      </c>
    </row>
    <row r="56" spans="1:14" ht="11.25" customHeight="1" x14ac:dyDescent="0.2">
      <c r="A56" s="28">
        <v>2</v>
      </c>
      <c r="B56" s="28"/>
      <c r="C56" s="54"/>
      <c r="D56" s="29" t="s">
        <v>392</v>
      </c>
      <c r="E56" s="29" t="s">
        <v>393</v>
      </c>
      <c r="F56" s="29" t="s">
        <v>394</v>
      </c>
      <c r="G56" s="29" t="s">
        <v>395</v>
      </c>
      <c r="H56" s="29" t="s">
        <v>396</v>
      </c>
      <c r="I56" s="29" t="s">
        <v>397</v>
      </c>
    </row>
    <row r="57" spans="1:14" ht="11.25" customHeight="1" x14ac:dyDescent="0.2">
      <c r="A57" s="28">
        <v>3</v>
      </c>
      <c r="B57" s="28"/>
      <c r="C57" s="54"/>
      <c r="D57" s="29" t="s">
        <v>398</v>
      </c>
      <c r="E57" s="29" t="s">
        <v>399</v>
      </c>
      <c r="F57" s="29" t="s">
        <v>400</v>
      </c>
      <c r="G57" s="29" t="s">
        <v>401</v>
      </c>
      <c r="H57" s="29" t="s">
        <v>402</v>
      </c>
      <c r="I57" s="29" t="s">
        <v>403</v>
      </c>
    </row>
    <row r="58" spans="1:14" ht="11.25" customHeight="1" x14ac:dyDescent="0.2">
      <c r="A58" s="28">
        <v>4</v>
      </c>
      <c r="B58" s="28"/>
      <c r="C58" s="54"/>
      <c r="D58" s="29" t="s">
        <v>404</v>
      </c>
      <c r="E58" s="29" t="s">
        <v>405</v>
      </c>
      <c r="F58" s="29" t="s">
        <v>406</v>
      </c>
      <c r="G58" s="29" t="s">
        <v>407</v>
      </c>
      <c r="H58" s="29" t="s">
        <v>408</v>
      </c>
      <c r="I58" s="29" t="s">
        <v>409</v>
      </c>
    </row>
    <row r="59" spans="1:14" ht="11.25" customHeight="1" x14ac:dyDescent="0.2">
      <c r="A59" s="28">
        <v>5</v>
      </c>
      <c r="B59" s="28"/>
      <c r="C59" s="54"/>
      <c r="D59" s="29" t="s">
        <v>410</v>
      </c>
      <c r="E59" s="29" t="s">
        <v>411</v>
      </c>
      <c r="F59" s="29" t="s">
        <v>412</v>
      </c>
      <c r="G59" s="29" t="s">
        <v>413</v>
      </c>
      <c r="H59" s="29" t="s">
        <v>414</v>
      </c>
      <c r="I59" s="29" t="s">
        <v>415</v>
      </c>
    </row>
    <row r="60" spans="1:14" ht="11.25" customHeight="1" x14ac:dyDescent="0.2">
      <c r="A60" s="28">
        <v>6</v>
      </c>
      <c r="B60" s="28"/>
      <c r="C60" s="54"/>
      <c r="D60" s="29" t="s">
        <v>416</v>
      </c>
      <c r="E60" s="29" t="s">
        <v>417</v>
      </c>
      <c r="F60" s="29" t="s">
        <v>418</v>
      </c>
      <c r="G60" s="29" t="s">
        <v>419</v>
      </c>
      <c r="H60" s="29" t="s">
        <v>420</v>
      </c>
      <c r="I60" s="29" t="s">
        <v>421</v>
      </c>
    </row>
    <row r="61" spans="1:14" ht="11.25" customHeight="1" x14ac:dyDescent="0.2">
      <c r="A61" s="28">
        <v>7</v>
      </c>
      <c r="B61" s="28"/>
      <c r="C61" s="54"/>
      <c r="D61" s="29" t="s">
        <v>422</v>
      </c>
      <c r="E61" s="29" t="s">
        <v>423</v>
      </c>
      <c r="F61" s="29" t="s">
        <v>424</v>
      </c>
      <c r="G61" s="29" t="s">
        <v>425</v>
      </c>
      <c r="H61" s="29" t="s">
        <v>426</v>
      </c>
      <c r="I61" s="29" t="s">
        <v>427</v>
      </c>
    </row>
    <row r="62" spans="1:14" ht="11.25" customHeight="1" x14ac:dyDescent="0.2">
      <c r="A62" s="28">
        <v>8</v>
      </c>
      <c r="B62" s="28"/>
      <c r="C62" s="54"/>
      <c r="D62" s="29" t="s">
        <v>428</v>
      </c>
      <c r="E62" s="29" t="s">
        <v>429</v>
      </c>
      <c r="F62" s="29" t="s">
        <v>430</v>
      </c>
      <c r="G62" s="29" t="s">
        <v>431</v>
      </c>
      <c r="H62" s="29" t="s">
        <v>432</v>
      </c>
      <c r="I62" s="29" t="s">
        <v>433</v>
      </c>
    </row>
    <row r="63" spans="1:14" ht="11.25" customHeight="1" x14ac:dyDescent="0.2">
      <c r="A63" s="28">
        <v>9</v>
      </c>
      <c r="B63" s="28"/>
      <c r="C63" s="54"/>
      <c r="D63" s="29" t="s">
        <v>434</v>
      </c>
      <c r="E63" s="29" t="s">
        <v>435</v>
      </c>
      <c r="F63" s="29" t="s">
        <v>436</v>
      </c>
      <c r="G63" s="29" t="s">
        <v>437</v>
      </c>
      <c r="H63" s="29" t="s">
        <v>438</v>
      </c>
      <c r="I63" s="29" t="s">
        <v>439</v>
      </c>
      <c r="N63" s="8"/>
    </row>
    <row r="64" spans="1:14" ht="11.25" customHeight="1" x14ac:dyDescent="0.2">
      <c r="A64" s="28">
        <v>10</v>
      </c>
      <c r="B64" s="28"/>
      <c r="C64" s="54"/>
      <c r="D64" s="29" t="s">
        <v>440</v>
      </c>
      <c r="E64" s="29" t="s">
        <v>441</v>
      </c>
      <c r="F64" s="29" t="s">
        <v>442</v>
      </c>
      <c r="G64" s="29" t="s">
        <v>443</v>
      </c>
      <c r="H64" s="29" t="s">
        <v>444</v>
      </c>
      <c r="I64" s="29" t="s">
        <v>445</v>
      </c>
      <c r="N64" s="8"/>
    </row>
    <row r="65" spans="1:11" ht="11.25" customHeight="1" thickBot="1" x14ac:dyDescent="0.25">
      <c r="A65" s="13" t="s">
        <v>254</v>
      </c>
      <c r="B65" s="13"/>
      <c r="C65" s="41"/>
      <c r="D65" s="15" t="s">
        <v>446</v>
      </c>
      <c r="E65" s="15" t="s">
        <v>447</v>
      </c>
      <c r="F65" s="15" t="s">
        <v>448</v>
      </c>
      <c r="G65" s="15" t="s">
        <v>449</v>
      </c>
      <c r="H65" s="15" t="s">
        <v>450</v>
      </c>
      <c r="I65" s="15" t="s">
        <v>451</v>
      </c>
    </row>
    <row r="66" spans="1:11" ht="11.25" customHeight="1" thickTop="1" x14ac:dyDescent="0.2"/>
    <row r="67" spans="1:11" ht="10.8" thickBot="1" x14ac:dyDescent="0.25">
      <c r="A67" s="4" t="s">
        <v>315</v>
      </c>
      <c r="B67" s="4"/>
      <c r="C67" s="46"/>
    </row>
    <row r="68" spans="1:11" ht="21" thickTop="1" x14ac:dyDescent="0.2">
      <c r="A68" s="5" t="s">
        <v>244</v>
      </c>
      <c r="B68" s="5"/>
      <c r="C68" s="47"/>
      <c r="D68" s="5" t="s">
        <v>257</v>
      </c>
      <c r="E68" s="5" t="s">
        <v>258</v>
      </c>
      <c r="F68" s="5" t="s">
        <v>259</v>
      </c>
      <c r="G68" s="5" t="s">
        <v>260</v>
      </c>
      <c r="H68" s="5" t="s">
        <v>261</v>
      </c>
      <c r="I68" s="5" t="s">
        <v>262</v>
      </c>
      <c r="J68" s="31"/>
      <c r="K68" s="31"/>
    </row>
    <row r="69" spans="1:11" ht="13.2" hidden="1" x14ac:dyDescent="0.25">
      <c r="A69" s="43" t="s">
        <v>264</v>
      </c>
      <c r="B69" s="30" t="s">
        <v>265</v>
      </c>
      <c r="C69" s="48" t="s">
        <v>200</v>
      </c>
      <c r="D69" s="30" t="s">
        <v>194</v>
      </c>
      <c r="E69" s="30" t="s">
        <v>195</v>
      </c>
      <c r="F69" s="30" t="s">
        <v>196</v>
      </c>
      <c r="G69" s="30" t="s">
        <v>197</v>
      </c>
      <c r="H69" s="30" t="s">
        <v>198</v>
      </c>
      <c r="I69" s="43" t="s">
        <v>199</v>
      </c>
      <c r="J69" s="33"/>
      <c r="K69" s="33"/>
    </row>
    <row r="70" spans="1:11" ht="11.25" hidden="1" customHeight="1" x14ac:dyDescent="0.2">
      <c r="A70" s="153" t="s">
        <v>452</v>
      </c>
      <c r="B70" s="153" t="s">
        <v>453</v>
      </c>
      <c r="C70" s="153" t="s">
        <v>228</v>
      </c>
      <c r="D70" s="154" t="s">
        <v>454</v>
      </c>
      <c r="E70" s="154" t="s">
        <v>455</v>
      </c>
      <c r="F70" s="154" t="s">
        <v>456</v>
      </c>
      <c r="G70" s="154" t="s">
        <v>457</v>
      </c>
      <c r="H70" s="154" t="s">
        <v>458</v>
      </c>
      <c r="I70" s="154" t="s">
        <v>459</v>
      </c>
    </row>
    <row r="71" spans="1:11" ht="10.199999999999999" x14ac:dyDescent="0.2">
      <c r="A71" s="7">
        <v>1</v>
      </c>
      <c r="B71" s="7"/>
      <c r="C71" s="8" t="s">
        <v>229</v>
      </c>
      <c r="D71" s="36" t="s">
        <v>460</v>
      </c>
      <c r="E71" s="36" t="s">
        <v>461</v>
      </c>
      <c r="F71" s="36" t="s">
        <v>462</v>
      </c>
      <c r="G71" s="36" t="s">
        <v>463</v>
      </c>
      <c r="H71" s="36" t="s">
        <v>464</v>
      </c>
      <c r="I71" s="56" t="s">
        <v>465</v>
      </c>
      <c r="J71" s="29"/>
      <c r="K71" s="29"/>
    </row>
    <row r="72" spans="1:11" ht="11.25" customHeight="1" x14ac:dyDescent="0.2">
      <c r="A72" s="7">
        <v>2</v>
      </c>
      <c r="B72" s="7"/>
      <c r="C72" s="8" t="s">
        <v>230</v>
      </c>
      <c r="D72" s="36" t="s">
        <v>466</v>
      </c>
      <c r="E72" s="36" t="s">
        <v>467</v>
      </c>
      <c r="F72" s="36" t="s">
        <v>468</v>
      </c>
      <c r="G72" s="36" t="s">
        <v>469</v>
      </c>
      <c r="H72" s="36" t="s">
        <v>470</v>
      </c>
      <c r="I72" s="56" t="s">
        <v>471</v>
      </c>
      <c r="J72" s="29"/>
      <c r="K72" s="29"/>
    </row>
    <row r="73" spans="1:11" ht="11.25" customHeight="1" x14ac:dyDescent="0.2">
      <c r="A73" s="7">
        <v>3</v>
      </c>
      <c r="B73" s="7"/>
      <c r="C73" s="8" t="s">
        <v>231</v>
      </c>
      <c r="D73" s="36" t="s">
        <v>472</v>
      </c>
      <c r="E73" s="36" t="s">
        <v>473</v>
      </c>
      <c r="F73" s="36" t="s">
        <v>474</v>
      </c>
      <c r="G73" s="36" t="s">
        <v>475</v>
      </c>
      <c r="H73" s="36" t="s">
        <v>476</v>
      </c>
      <c r="I73" s="56" t="s">
        <v>477</v>
      </c>
      <c r="J73" s="29"/>
      <c r="K73" s="29"/>
    </row>
    <row r="74" spans="1:11" ht="11.25" customHeight="1" x14ac:dyDescent="0.2">
      <c r="A74" s="7">
        <v>4</v>
      </c>
      <c r="B74" s="7"/>
      <c r="C74" s="8" t="s">
        <v>232</v>
      </c>
      <c r="D74" s="36" t="s">
        <v>478</v>
      </c>
      <c r="E74" s="36" t="s">
        <v>479</v>
      </c>
      <c r="F74" s="36" t="s">
        <v>480</v>
      </c>
      <c r="G74" s="36" t="s">
        <v>481</v>
      </c>
      <c r="H74" s="36" t="s">
        <v>482</v>
      </c>
      <c r="I74" s="56" t="s">
        <v>483</v>
      </c>
      <c r="J74" s="29"/>
      <c r="K74" s="29"/>
    </row>
    <row r="75" spans="1:11" ht="11.25" customHeight="1" x14ac:dyDescent="0.2">
      <c r="A75" s="7">
        <v>5</v>
      </c>
      <c r="B75" s="7"/>
      <c r="C75" s="8" t="s">
        <v>233</v>
      </c>
      <c r="D75" s="36" t="s">
        <v>484</v>
      </c>
      <c r="E75" s="36" t="s">
        <v>485</v>
      </c>
      <c r="F75" s="36" t="s">
        <v>486</v>
      </c>
      <c r="G75" s="36" t="s">
        <v>487</v>
      </c>
      <c r="H75" s="36" t="s">
        <v>488</v>
      </c>
      <c r="I75" s="56" t="s">
        <v>489</v>
      </c>
      <c r="J75" s="29"/>
      <c r="K75" s="29"/>
    </row>
    <row r="76" spans="1:11" ht="11.25" customHeight="1" x14ac:dyDescent="0.2">
      <c r="A76" s="7">
        <v>6</v>
      </c>
      <c r="B76" s="7"/>
      <c r="C76" s="8" t="s">
        <v>234</v>
      </c>
      <c r="D76" s="36" t="s">
        <v>490</v>
      </c>
      <c r="E76" s="36" t="s">
        <v>491</v>
      </c>
      <c r="F76" s="36" t="s">
        <v>492</v>
      </c>
      <c r="G76" s="36" t="s">
        <v>493</v>
      </c>
      <c r="H76" s="36" t="s">
        <v>494</v>
      </c>
      <c r="I76" s="56" t="s">
        <v>495</v>
      </c>
      <c r="J76" s="29"/>
      <c r="K76" s="29"/>
    </row>
    <row r="77" spans="1:11" ht="11.25" customHeight="1" x14ac:dyDescent="0.2">
      <c r="A77" s="7">
        <v>7</v>
      </c>
      <c r="B77" s="7"/>
      <c r="C77" s="8" t="s">
        <v>235</v>
      </c>
      <c r="D77" s="36" t="s">
        <v>496</v>
      </c>
      <c r="E77" s="36" t="s">
        <v>497</v>
      </c>
      <c r="F77" s="36" t="s">
        <v>498</v>
      </c>
      <c r="G77" s="36" t="s">
        <v>499</v>
      </c>
      <c r="H77" s="36" t="s">
        <v>500</v>
      </c>
      <c r="I77" s="56" t="s">
        <v>501</v>
      </c>
      <c r="J77" s="29"/>
      <c r="K77" s="29"/>
    </row>
    <row r="78" spans="1:11" ht="11.25" customHeight="1" x14ac:dyDescent="0.2">
      <c r="A78" s="7">
        <v>8</v>
      </c>
      <c r="B78" s="7"/>
      <c r="C78" s="8" t="s">
        <v>236</v>
      </c>
      <c r="D78" s="36" t="s">
        <v>502</v>
      </c>
      <c r="E78" s="36" t="s">
        <v>503</v>
      </c>
      <c r="F78" s="36" t="s">
        <v>504</v>
      </c>
      <c r="G78" s="36" t="s">
        <v>505</v>
      </c>
      <c r="H78" s="36" t="s">
        <v>506</v>
      </c>
      <c r="I78" s="56" t="s">
        <v>507</v>
      </c>
      <c r="J78" s="29"/>
      <c r="K78" s="29"/>
    </row>
    <row r="79" spans="1:11" ht="11.25" customHeight="1" x14ac:dyDescent="0.2">
      <c r="A79" s="7">
        <v>9</v>
      </c>
      <c r="B79" s="7"/>
      <c r="C79" s="8" t="s">
        <v>237</v>
      </c>
      <c r="D79" s="36" t="s">
        <v>508</v>
      </c>
      <c r="E79" s="36" t="s">
        <v>509</v>
      </c>
      <c r="F79" s="36" t="s">
        <v>510</v>
      </c>
      <c r="G79" s="36" t="s">
        <v>511</v>
      </c>
      <c r="H79" s="36" t="s">
        <v>512</v>
      </c>
      <c r="I79" s="56" t="s">
        <v>513</v>
      </c>
      <c r="J79" s="29"/>
      <c r="K79" s="29"/>
    </row>
    <row r="80" spans="1:11" ht="11.25" customHeight="1" x14ac:dyDescent="0.2">
      <c r="A80" s="7">
        <v>10</v>
      </c>
      <c r="B80" s="7"/>
      <c r="C80" s="8" t="s">
        <v>238</v>
      </c>
      <c r="D80" s="36" t="s">
        <v>514</v>
      </c>
      <c r="E80" s="36" t="s">
        <v>515</v>
      </c>
      <c r="F80" s="36" t="s">
        <v>516</v>
      </c>
      <c r="G80" s="36" t="s">
        <v>517</v>
      </c>
      <c r="H80" s="36" t="s">
        <v>518</v>
      </c>
      <c r="I80" s="56" t="s">
        <v>519</v>
      </c>
      <c r="J80" s="29"/>
      <c r="K80" s="29"/>
    </row>
    <row r="81" spans="1:11" ht="11.25" customHeight="1" x14ac:dyDescent="0.2">
      <c r="A81" s="10" t="s">
        <v>253</v>
      </c>
      <c r="B81" s="10"/>
      <c r="C81" s="11" t="s">
        <v>239</v>
      </c>
      <c r="D81" s="37" t="s">
        <v>520</v>
      </c>
      <c r="E81" s="37" t="s">
        <v>521</v>
      </c>
      <c r="F81" s="37" t="s">
        <v>522</v>
      </c>
      <c r="G81" s="37" t="s">
        <v>523</v>
      </c>
      <c r="H81" s="37" t="s">
        <v>524</v>
      </c>
      <c r="I81" s="58" t="s">
        <v>525</v>
      </c>
      <c r="J81" s="34"/>
      <c r="K81" s="34"/>
    </row>
    <row r="82" spans="1:11" ht="11.25" customHeight="1" thickBot="1" x14ac:dyDescent="0.25">
      <c r="A82" s="13" t="s">
        <v>254</v>
      </c>
      <c r="B82" s="13">
        <v>1</v>
      </c>
      <c r="C82" s="14" t="s">
        <v>526</v>
      </c>
      <c r="D82" s="38" t="s">
        <v>527</v>
      </c>
      <c r="E82" s="38" t="s">
        <v>528</v>
      </c>
      <c r="F82" s="38" t="s">
        <v>529</v>
      </c>
      <c r="G82" s="38" t="s">
        <v>530</v>
      </c>
      <c r="H82" s="38" t="s">
        <v>531</v>
      </c>
      <c r="I82" s="61" t="s">
        <v>532</v>
      </c>
      <c r="J82" s="35"/>
      <c r="K82" s="35"/>
    </row>
    <row r="83" spans="1:11" ht="11.25" customHeight="1" thickTop="1" x14ac:dyDescent="0.2"/>
    <row r="84" spans="1:11" ht="10.8" thickBot="1" x14ac:dyDescent="0.25">
      <c r="A84" s="4" t="s">
        <v>316</v>
      </c>
      <c r="B84" s="4"/>
      <c r="C84" s="46"/>
    </row>
    <row r="85" spans="1:11" ht="21" thickTop="1" x14ac:dyDescent="0.2">
      <c r="A85" s="5" t="s">
        <v>244</v>
      </c>
      <c r="B85" s="5"/>
      <c r="C85" s="47"/>
      <c r="D85" s="5" t="s">
        <v>257</v>
      </c>
      <c r="E85" s="5" t="s">
        <v>258</v>
      </c>
      <c r="F85" s="5" t="s">
        <v>259</v>
      </c>
      <c r="G85" s="5" t="s">
        <v>260</v>
      </c>
      <c r="H85" s="5" t="s">
        <v>261</v>
      </c>
    </row>
    <row r="86" spans="1:11" ht="11.25" customHeight="1" x14ac:dyDescent="0.2">
      <c r="A86" s="7">
        <v>1</v>
      </c>
      <c r="B86" s="7"/>
      <c r="C86" s="39" t="s">
        <v>229</v>
      </c>
      <c r="D86" s="9" t="s">
        <v>533</v>
      </c>
      <c r="E86" s="9" t="s">
        <v>534</v>
      </c>
      <c r="F86" s="9" t="s">
        <v>535</v>
      </c>
      <c r="G86" s="9" t="s">
        <v>536</v>
      </c>
      <c r="H86" s="9" t="s">
        <v>537</v>
      </c>
    </row>
    <row r="87" spans="1:11" ht="11.25" customHeight="1" x14ac:dyDescent="0.2">
      <c r="A87" s="7">
        <v>2</v>
      </c>
      <c r="B87" s="7"/>
      <c r="C87" s="39" t="s">
        <v>230</v>
      </c>
      <c r="D87" s="9" t="s">
        <v>538</v>
      </c>
      <c r="E87" s="9" t="s">
        <v>539</v>
      </c>
      <c r="F87" s="9" t="s">
        <v>540</v>
      </c>
      <c r="G87" s="9" t="s">
        <v>541</v>
      </c>
      <c r="H87" s="9" t="s">
        <v>542</v>
      </c>
    </row>
    <row r="88" spans="1:11" ht="11.25" customHeight="1" x14ac:dyDescent="0.2">
      <c r="A88" s="7">
        <v>3</v>
      </c>
      <c r="B88" s="7"/>
      <c r="C88" s="39" t="s">
        <v>231</v>
      </c>
      <c r="D88" s="9" t="s">
        <v>543</v>
      </c>
      <c r="E88" s="9" t="s">
        <v>544</v>
      </c>
      <c r="F88" s="9" t="s">
        <v>545</v>
      </c>
      <c r="G88" s="9" t="s">
        <v>546</v>
      </c>
      <c r="H88" s="9" t="s">
        <v>547</v>
      </c>
    </row>
    <row r="89" spans="1:11" ht="11.25" customHeight="1" x14ac:dyDescent="0.2">
      <c r="A89" s="7">
        <v>4</v>
      </c>
      <c r="B89" s="7"/>
      <c r="C89" s="39" t="s">
        <v>232</v>
      </c>
      <c r="D89" s="9" t="s">
        <v>548</v>
      </c>
      <c r="E89" s="9" t="s">
        <v>549</v>
      </c>
      <c r="F89" s="9" t="s">
        <v>550</v>
      </c>
      <c r="G89" s="9" t="s">
        <v>551</v>
      </c>
      <c r="H89" s="9" t="s">
        <v>552</v>
      </c>
    </row>
    <row r="90" spans="1:11" ht="11.25" customHeight="1" x14ac:dyDescent="0.2">
      <c r="A90" s="7">
        <v>5</v>
      </c>
      <c r="B90" s="7"/>
      <c r="C90" s="39" t="s">
        <v>233</v>
      </c>
      <c r="D90" s="9" t="s">
        <v>553</v>
      </c>
      <c r="E90" s="9" t="s">
        <v>554</v>
      </c>
      <c r="F90" s="9" t="s">
        <v>555</v>
      </c>
      <c r="G90" s="9" t="s">
        <v>556</v>
      </c>
      <c r="H90" s="9" t="s">
        <v>557</v>
      </c>
    </row>
    <row r="91" spans="1:11" ht="11.25" customHeight="1" x14ac:dyDescent="0.2">
      <c r="A91" s="7">
        <v>6</v>
      </c>
      <c r="B91" s="7"/>
      <c r="C91" s="39" t="s">
        <v>234</v>
      </c>
      <c r="D91" s="9" t="s">
        <v>558</v>
      </c>
      <c r="E91" s="9" t="s">
        <v>559</v>
      </c>
      <c r="F91" s="9" t="s">
        <v>560</v>
      </c>
      <c r="G91" s="9" t="s">
        <v>561</v>
      </c>
      <c r="H91" s="9" t="s">
        <v>562</v>
      </c>
    </row>
    <row r="92" spans="1:11" ht="11.25" customHeight="1" x14ac:dyDescent="0.2">
      <c r="A92" s="7">
        <v>7</v>
      </c>
      <c r="B92" s="7"/>
      <c r="C92" s="39" t="s">
        <v>235</v>
      </c>
      <c r="D92" s="9" t="s">
        <v>563</v>
      </c>
      <c r="E92" s="9" t="s">
        <v>564</v>
      </c>
      <c r="F92" s="9" t="s">
        <v>565</v>
      </c>
      <c r="G92" s="9" t="s">
        <v>566</v>
      </c>
      <c r="H92" s="9" t="s">
        <v>567</v>
      </c>
    </row>
    <row r="93" spans="1:11" ht="11.25" customHeight="1" x14ac:dyDescent="0.2">
      <c r="A93" s="7">
        <v>8</v>
      </c>
      <c r="B93" s="7"/>
      <c r="C93" s="39" t="s">
        <v>236</v>
      </c>
      <c r="D93" s="9" t="s">
        <v>568</v>
      </c>
      <c r="E93" s="9" t="s">
        <v>569</v>
      </c>
      <c r="F93" s="9" t="s">
        <v>570</v>
      </c>
      <c r="G93" s="9" t="s">
        <v>571</v>
      </c>
      <c r="H93" s="9" t="s">
        <v>572</v>
      </c>
    </row>
    <row r="94" spans="1:11" ht="11.25" customHeight="1" x14ac:dyDescent="0.2">
      <c r="A94" s="7">
        <v>9</v>
      </c>
      <c r="B94" s="7"/>
      <c r="C94" s="39" t="s">
        <v>237</v>
      </c>
      <c r="D94" s="9" t="s">
        <v>573</v>
      </c>
      <c r="E94" s="9" t="s">
        <v>574</v>
      </c>
      <c r="F94" s="9" t="s">
        <v>575</v>
      </c>
      <c r="G94" s="9" t="s">
        <v>576</v>
      </c>
      <c r="H94" s="9" t="s">
        <v>577</v>
      </c>
    </row>
    <row r="95" spans="1:11" ht="11.25" customHeight="1" x14ac:dyDescent="0.2">
      <c r="A95" s="7">
        <v>10</v>
      </c>
      <c r="B95" s="7"/>
      <c r="C95" s="39" t="s">
        <v>238</v>
      </c>
      <c r="D95" s="9" t="s">
        <v>578</v>
      </c>
      <c r="E95" s="9" t="s">
        <v>579</v>
      </c>
      <c r="F95" s="9" t="s">
        <v>580</v>
      </c>
      <c r="G95" s="9" t="s">
        <v>581</v>
      </c>
      <c r="H95" s="9" t="s">
        <v>582</v>
      </c>
    </row>
    <row r="96" spans="1:11" ht="11.25" customHeight="1" x14ac:dyDescent="0.2">
      <c r="A96" s="10" t="s">
        <v>253</v>
      </c>
      <c r="B96" s="10"/>
      <c r="C96" s="40" t="s">
        <v>239</v>
      </c>
      <c r="D96" s="12" t="s">
        <v>583</v>
      </c>
      <c r="E96" s="12" t="s">
        <v>584</v>
      </c>
      <c r="F96" s="12" t="s">
        <v>585</v>
      </c>
      <c r="G96" s="12" t="s">
        <v>586</v>
      </c>
      <c r="H96" s="12" t="s">
        <v>587</v>
      </c>
    </row>
    <row r="97" spans="1:12" ht="11.25" customHeight="1" thickBot="1" x14ac:dyDescent="0.25">
      <c r="A97" s="13" t="s">
        <v>254</v>
      </c>
      <c r="B97" s="13"/>
      <c r="C97" s="41" t="s">
        <v>526</v>
      </c>
      <c r="D97" s="15" t="s">
        <v>588</v>
      </c>
      <c r="E97" s="15" t="s">
        <v>589</v>
      </c>
      <c r="F97" s="15" t="s">
        <v>590</v>
      </c>
      <c r="G97" s="15" t="s">
        <v>591</v>
      </c>
      <c r="H97" s="15" t="s">
        <v>592</v>
      </c>
    </row>
    <row r="98" spans="1:12" ht="11.25" customHeight="1" thickTop="1" x14ac:dyDescent="0.2"/>
    <row r="99" spans="1:12" ht="10.8" thickBot="1" x14ac:dyDescent="0.25">
      <c r="A99" s="4" t="str">
        <f>CONCATENATE("Table 7. Percentile and poverty cut offs, ",IF($L$49=1,"euros","national currency"))</f>
        <v>Table 7. Percentile and poverty cut offs, national currency</v>
      </c>
      <c r="F99" s="174"/>
    </row>
    <row r="100" spans="1:12" ht="10.8" thickTop="1" x14ac:dyDescent="0.2">
      <c r="A100" s="5" t="s">
        <v>244</v>
      </c>
      <c r="B100" s="5"/>
      <c r="C100" s="47"/>
      <c r="D100" s="5" t="s">
        <v>263</v>
      </c>
      <c r="E100" s="31"/>
      <c r="F100" s="32"/>
      <c r="G100" s="31"/>
      <c r="I100" s="31"/>
      <c r="J100" s="31"/>
      <c r="K100" s="31"/>
    </row>
    <row r="101" spans="1:12" ht="11.25" hidden="1" customHeight="1" x14ac:dyDescent="0.25">
      <c r="A101" s="161" t="s">
        <v>264</v>
      </c>
      <c r="B101" s="162" t="s">
        <v>452</v>
      </c>
      <c r="C101" s="162"/>
      <c r="E101" s="33"/>
      <c r="F101" s="33"/>
      <c r="G101" s="33"/>
      <c r="H101" s="2" t="s">
        <v>256</v>
      </c>
      <c r="I101" s="33"/>
      <c r="J101" s="33"/>
      <c r="K101" s="33"/>
    </row>
    <row r="102" spans="1:12" ht="11.25" customHeight="1" x14ac:dyDescent="0.2">
      <c r="A102" s="7">
        <v>1</v>
      </c>
      <c r="B102" s="7"/>
      <c r="C102" s="145"/>
      <c r="D102" s="8" t="s">
        <v>101</v>
      </c>
      <c r="E102" s="42"/>
      <c r="F102" s="42"/>
      <c r="G102" s="42"/>
      <c r="I102" s="42"/>
      <c r="J102" s="8"/>
      <c r="L102" s="8"/>
    </row>
    <row r="103" spans="1:12" ht="11.25" customHeight="1" x14ac:dyDescent="0.2">
      <c r="A103" s="7">
        <v>2</v>
      </c>
      <c r="B103" s="7"/>
      <c r="C103" s="145"/>
      <c r="D103" s="8" t="s">
        <v>102</v>
      </c>
      <c r="E103" s="42"/>
      <c r="F103" s="42"/>
      <c r="G103" s="42"/>
      <c r="I103" s="42"/>
      <c r="J103" s="8"/>
      <c r="L103" s="8"/>
    </row>
    <row r="104" spans="1:12" ht="11.25" customHeight="1" x14ac:dyDescent="0.2">
      <c r="A104" s="7">
        <v>3</v>
      </c>
      <c r="B104" s="7"/>
      <c r="C104" s="145"/>
      <c r="D104" s="8" t="s">
        <v>103</v>
      </c>
      <c r="E104" s="42"/>
      <c r="F104" s="42"/>
      <c r="G104" s="42"/>
      <c r="I104" s="42"/>
      <c r="J104" s="8"/>
      <c r="L104" s="8"/>
    </row>
    <row r="105" spans="1:12" ht="11.25" customHeight="1" x14ac:dyDescent="0.2">
      <c r="A105" s="7">
        <v>4</v>
      </c>
      <c r="B105" s="7"/>
      <c r="C105" s="145"/>
      <c r="D105" s="8" t="s">
        <v>104</v>
      </c>
      <c r="E105" s="42"/>
      <c r="F105" s="42"/>
      <c r="G105" s="42"/>
      <c r="I105" s="42"/>
      <c r="J105" s="8"/>
      <c r="L105" s="8"/>
    </row>
    <row r="106" spans="1:12" ht="11.25" customHeight="1" x14ac:dyDescent="0.2">
      <c r="A106" s="7">
        <v>5</v>
      </c>
      <c r="B106" s="7"/>
      <c r="C106" s="145"/>
      <c r="D106" s="8" t="s">
        <v>105</v>
      </c>
      <c r="E106" s="42"/>
      <c r="F106" s="42"/>
      <c r="G106" s="42"/>
      <c r="I106" s="42"/>
      <c r="J106" s="8"/>
      <c r="L106" s="8"/>
    </row>
    <row r="107" spans="1:12" ht="11.25" customHeight="1" x14ac:dyDescent="0.2">
      <c r="A107" s="7">
        <v>6</v>
      </c>
      <c r="B107" s="7"/>
      <c r="C107" s="145"/>
      <c r="D107" s="8" t="s">
        <v>106</v>
      </c>
      <c r="E107" s="42"/>
      <c r="F107" s="42"/>
      <c r="G107" s="42"/>
      <c r="I107" s="42"/>
      <c r="J107" s="8"/>
      <c r="L107" s="8"/>
    </row>
    <row r="108" spans="1:12" ht="11.25" customHeight="1" x14ac:dyDescent="0.2">
      <c r="A108" s="7">
        <v>7</v>
      </c>
      <c r="B108" s="7"/>
      <c r="C108" s="145"/>
      <c r="D108" s="8" t="s">
        <v>107</v>
      </c>
      <c r="E108" s="42"/>
      <c r="F108" s="42"/>
      <c r="G108" s="42"/>
      <c r="I108" s="42"/>
      <c r="J108" s="8"/>
      <c r="L108" s="8"/>
    </row>
    <row r="109" spans="1:12" ht="11.25" customHeight="1" x14ac:dyDescent="0.2">
      <c r="A109" s="7">
        <v>8</v>
      </c>
      <c r="B109" s="7"/>
      <c r="C109" s="145"/>
      <c r="D109" s="8" t="s">
        <v>108</v>
      </c>
      <c r="E109" s="42"/>
      <c r="F109" s="42"/>
      <c r="G109" s="42"/>
      <c r="I109" s="42"/>
      <c r="J109" s="8"/>
      <c r="L109" s="8"/>
    </row>
    <row r="110" spans="1:12" ht="11.25" customHeight="1" x14ac:dyDescent="0.2">
      <c r="A110" s="7">
        <v>9</v>
      </c>
      <c r="B110" s="7"/>
      <c r="C110" s="145"/>
      <c r="D110" s="8" t="s">
        <v>109</v>
      </c>
      <c r="E110" s="42"/>
      <c r="F110" s="42"/>
      <c r="G110" s="42"/>
      <c r="I110" s="42"/>
      <c r="J110" s="8"/>
      <c r="L110" s="8"/>
    </row>
    <row r="111" spans="1:12" ht="11.25" customHeight="1" thickBot="1" x14ac:dyDescent="0.25">
      <c r="A111" s="13" t="s">
        <v>317</v>
      </c>
      <c r="B111" s="156" t="s">
        <v>346</v>
      </c>
      <c r="C111" s="160" t="s">
        <v>593</v>
      </c>
      <c r="D111" s="14" t="s">
        <v>110</v>
      </c>
      <c r="E111" s="42"/>
      <c r="F111" s="42"/>
      <c r="G111" s="42"/>
      <c r="I111" s="42"/>
      <c r="J111" s="35"/>
    </row>
    <row r="112" spans="1:12" ht="11.25" customHeight="1" thickTop="1" x14ac:dyDescent="0.2"/>
    <row r="113" spans="1:12" s="63" customFormat="1" ht="11.4" x14ac:dyDescent="0.2">
      <c r="A113" s="4" t="s">
        <v>330</v>
      </c>
      <c r="B113" s="7"/>
      <c r="C113" s="7"/>
      <c r="D113" s="7"/>
      <c r="E113" s="7"/>
      <c r="F113" s="7"/>
      <c r="G113" s="7"/>
      <c r="H113" s="7"/>
      <c r="I113" s="62"/>
      <c r="J113" s="62"/>
      <c r="K113" s="62"/>
      <c r="L113" s="62"/>
    </row>
    <row r="114" spans="1:12" s="63" customFormat="1" ht="11.4" x14ac:dyDescent="0.2">
      <c r="A114" s="64" t="s">
        <v>331</v>
      </c>
      <c r="B114" s="7"/>
      <c r="C114" s="7"/>
      <c r="D114" s="7"/>
      <c r="E114" s="7"/>
      <c r="F114" s="7"/>
      <c r="G114" s="7"/>
      <c r="H114" s="7"/>
      <c r="I114" s="62"/>
      <c r="J114" s="62"/>
      <c r="K114" s="62"/>
      <c r="L114" s="62"/>
    </row>
    <row r="115" spans="1:12" s="63" customFormat="1" ht="11.4" x14ac:dyDescent="0.2">
      <c r="A115" s="64" t="s">
        <v>332</v>
      </c>
      <c r="B115" s="7"/>
      <c r="C115" s="7"/>
      <c r="D115" s="7"/>
      <c r="E115" s="7"/>
      <c r="F115" s="7"/>
      <c r="G115" s="7"/>
      <c r="H115" s="7"/>
      <c r="I115" s="62"/>
      <c r="J115" s="62"/>
      <c r="K115" s="62"/>
      <c r="L115" s="62"/>
    </row>
    <row r="116" spans="1:12" s="63" customFormat="1" ht="11.4" x14ac:dyDescent="0.2">
      <c r="A116" s="64" t="s">
        <v>333</v>
      </c>
      <c r="B116" s="7"/>
      <c r="C116" s="7"/>
      <c r="D116" s="7"/>
      <c r="E116" s="7"/>
      <c r="F116" s="7"/>
      <c r="G116" s="7"/>
      <c r="H116" s="7"/>
      <c r="I116" s="62"/>
      <c r="J116" s="62"/>
      <c r="K116" s="62"/>
      <c r="L116" s="62"/>
    </row>
    <row r="117" spans="1:12" s="63" customFormat="1" ht="11.4" x14ac:dyDescent="0.2">
      <c r="A117" s="64" t="s">
        <v>334</v>
      </c>
      <c r="B117" s="7"/>
      <c r="C117" s="7"/>
      <c r="D117" s="7"/>
      <c r="E117" s="7"/>
      <c r="F117" s="7"/>
      <c r="G117" s="7"/>
      <c r="H117" s="7"/>
      <c r="I117" s="62"/>
      <c r="J117" s="62"/>
      <c r="K117" s="62"/>
      <c r="L117" s="62"/>
    </row>
    <row r="118" spans="1:12" s="63" customFormat="1" ht="11.4" x14ac:dyDescent="0.2">
      <c r="A118" s="64" t="s">
        <v>335</v>
      </c>
      <c r="B118" s="7"/>
      <c r="C118" s="7"/>
      <c r="D118" s="7"/>
      <c r="E118" s="7"/>
      <c r="F118" s="7"/>
      <c r="G118" s="7"/>
      <c r="H118" s="7"/>
      <c r="I118" s="62"/>
      <c r="J118" s="62"/>
      <c r="K118" s="62"/>
      <c r="L118" s="62"/>
    </row>
    <row r="119" spans="1:12" s="63" customFormat="1" ht="11.4" x14ac:dyDescent="0.2">
      <c r="A119" s="64" t="s">
        <v>336</v>
      </c>
      <c r="B119" s="7"/>
      <c r="C119" s="7"/>
      <c r="D119" s="7"/>
      <c r="E119" s="7"/>
      <c r="F119" s="7"/>
      <c r="G119" s="7"/>
      <c r="H119" s="7"/>
      <c r="I119" s="62"/>
      <c r="J119" s="62"/>
      <c r="K119" s="62"/>
      <c r="L119" s="62"/>
    </row>
    <row r="120" spans="1:12" s="63" customFormat="1" ht="11.4" x14ac:dyDescent="0.2">
      <c r="A120" s="2" t="s">
        <v>337</v>
      </c>
      <c r="B120" s="7"/>
      <c r="C120" s="7"/>
      <c r="D120" s="7"/>
      <c r="E120" s="7"/>
      <c r="F120" s="7"/>
      <c r="G120" s="7"/>
      <c r="H120" s="7"/>
      <c r="I120" s="62"/>
      <c r="J120" s="62"/>
      <c r="K120" s="62"/>
      <c r="L120" s="62"/>
    </row>
    <row r="121" spans="1:12" s="63" customFormat="1" ht="11.4" x14ac:dyDescent="0.2">
      <c r="A121" s="2" t="s">
        <v>338</v>
      </c>
      <c r="B121" s="7"/>
      <c r="C121" s="7"/>
      <c r="D121" s="7"/>
      <c r="E121" s="7"/>
      <c r="F121" s="7"/>
      <c r="G121" s="7"/>
      <c r="H121" s="7"/>
      <c r="I121" s="62"/>
      <c r="J121" s="62"/>
      <c r="K121" s="62"/>
      <c r="L121" s="62"/>
    </row>
    <row r="122" spans="1:12" s="63" customFormat="1" ht="11.4" x14ac:dyDescent="0.2">
      <c r="A122" s="2"/>
      <c r="B122" s="7"/>
      <c r="C122" s="7"/>
      <c r="D122" s="7"/>
      <c r="E122" s="7"/>
      <c r="F122" s="7"/>
      <c r="G122" s="7"/>
      <c r="H122" s="7"/>
      <c r="I122" s="62"/>
      <c r="J122" s="62"/>
      <c r="K122" s="62"/>
      <c r="L122" s="62"/>
    </row>
    <row r="123" spans="1:12" s="63" customFormat="1" ht="11.4" x14ac:dyDescent="0.2">
      <c r="A123" s="80" t="s">
        <v>243</v>
      </c>
      <c r="B123" s="7"/>
      <c r="C123" s="7"/>
      <c r="D123" s="7"/>
      <c r="E123" s="7"/>
      <c r="F123" s="7"/>
      <c r="G123" s="7"/>
      <c r="H123" s="7"/>
      <c r="I123" s="62"/>
      <c r="J123" s="62"/>
      <c r="K123" s="62"/>
      <c r="L123" s="62"/>
    </row>
    <row r="124" spans="1:12" s="63" customFormat="1" ht="11.4" hidden="1" x14ac:dyDescent="0.2">
      <c r="A124" s="96"/>
      <c r="B124" s="97"/>
      <c r="C124" s="97"/>
      <c r="D124" s="97"/>
      <c r="E124" s="97"/>
      <c r="F124" s="97"/>
      <c r="G124" s="98"/>
      <c r="H124" s="7"/>
      <c r="I124" s="62"/>
      <c r="J124" s="62"/>
      <c r="K124" s="62"/>
      <c r="L124" s="62"/>
    </row>
    <row r="125" spans="1:12" ht="11.25" hidden="1" customHeight="1" x14ac:dyDescent="0.2">
      <c r="A125" s="211" t="s">
        <v>322</v>
      </c>
      <c r="B125" s="212"/>
      <c r="C125" s="212"/>
      <c r="D125" s="212"/>
      <c r="E125" s="99"/>
      <c r="F125" s="99"/>
      <c r="G125" s="100"/>
    </row>
    <row r="126" spans="1:12" ht="11.25" hidden="1" customHeight="1" x14ac:dyDescent="0.2">
      <c r="A126" s="211" t="s">
        <v>323</v>
      </c>
      <c r="B126" s="212"/>
      <c r="C126" s="212"/>
      <c r="D126" s="212"/>
      <c r="E126" s="99"/>
      <c r="F126" s="99"/>
      <c r="G126" s="100"/>
    </row>
    <row r="127" spans="1:12" ht="11.25" hidden="1" customHeight="1" x14ac:dyDescent="0.2">
      <c r="A127" s="211" t="s">
        <v>324</v>
      </c>
      <c r="B127" s="212"/>
      <c r="C127" s="212"/>
      <c r="D127" s="212"/>
      <c r="E127" s="99"/>
      <c r="F127" s="99"/>
      <c r="G127" s="100"/>
    </row>
    <row r="128" spans="1:12" ht="11.25" hidden="1" customHeight="1" x14ac:dyDescent="0.2">
      <c r="A128" s="211" t="s">
        <v>325</v>
      </c>
      <c r="B128" s="212"/>
      <c r="C128" s="212"/>
      <c r="D128" s="212"/>
      <c r="E128" s="99"/>
      <c r="F128" s="99"/>
      <c r="G128" s="100"/>
    </row>
    <row r="129" spans="1:7" ht="11.25" hidden="1" customHeight="1" x14ac:dyDescent="0.2">
      <c r="A129" s="101"/>
      <c r="B129" s="99"/>
      <c r="C129" s="102"/>
      <c r="D129" s="99"/>
      <c r="E129" s="99"/>
      <c r="F129" s="99"/>
      <c r="G129" s="100"/>
    </row>
    <row r="130" spans="1:7" ht="11.25" hidden="1" customHeight="1" thickBot="1" x14ac:dyDescent="0.25">
      <c r="A130" s="103"/>
      <c r="B130" s="104"/>
      <c r="C130" s="105"/>
      <c r="D130" s="104"/>
      <c r="E130" s="104"/>
      <c r="F130" s="104"/>
      <c r="G130" s="106"/>
    </row>
  </sheetData>
  <mergeCells count="10">
    <mergeCell ref="A6:D6"/>
    <mergeCell ref="A7:D7"/>
    <mergeCell ref="A8:D8"/>
    <mergeCell ref="A10:D10"/>
    <mergeCell ref="A9:D9"/>
    <mergeCell ref="A128:D128"/>
    <mergeCell ref="A125:D125"/>
    <mergeCell ref="A126:D126"/>
    <mergeCell ref="A127:D127"/>
    <mergeCell ref="A11:E11"/>
  </mergeCells>
  <phoneticPr fontId="0" type="noConversion"/>
  <conditionalFormatting sqref="J52">
    <cfRule type="expression" dxfId="2" priority="1" stopIfTrue="1">
      <formula>IF(NOT(ISNA(K52)),1,0)</formula>
    </cfRule>
  </conditionalFormatting>
  <conditionalFormatting sqref="J21:K21">
    <cfRule type="expression" dxfId="1" priority="2" stopIfTrue="1">
      <formula>IF($L$21=1,0,1)</formula>
    </cfRule>
  </conditionalFormatting>
  <conditionalFormatting sqref="K52">
    <cfRule type="expression" dxfId="0" priority="3" stopIfTrue="1">
      <formula>IF(NOT(ISNA(K52)),1,0)</formula>
    </cfRule>
  </conditionalFormatting>
  <pageMargins left="0.75" right="0.75" top="1" bottom="1" header="0.5" footer="0.5"/>
  <pageSetup paperSize="9" orientation="portrait" r:id="rId1"/>
  <headerFooter alignWithMargins="0"/>
  <rowBreaks count="2" manualBreakCount="2">
    <brk id="52" max="16383" man="1"/>
    <brk id="112" max="16383" man="1"/>
  </rowBreak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E1001DD43CB045BE00020195DB8AFA" ma:contentTypeVersion="16" ma:contentTypeDescription="Create a new document." ma:contentTypeScope="" ma:versionID="f4f364f4212edead9b7f762f6fb15340">
  <xsd:schema xmlns:xsd="http://www.w3.org/2001/XMLSchema" xmlns:xs="http://www.w3.org/2001/XMLSchema" xmlns:p="http://schemas.microsoft.com/office/2006/metadata/properties" xmlns:ns1="http://schemas.microsoft.com/sharepoint/v3" xmlns:ns2="9a168cda-de62-4775-83ba-19ff45d4036f" xmlns:ns3="50ff40a5-f6b4-453b-b26e-450edda0d382" targetNamespace="http://schemas.microsoft.com/office/2006/metadata/properties" ma:root="true" ma:fieldsID="fab73c30b598399d1c7980d8f7a71ac7" ns1:_="" ns2:_="" ns3:_="">
    <xsd:import namespace="http://schemas.microsoft.com/sharepoint/v3"/>
    <xsd:import namespace="9a168cda-de62-4775-83ba-19ff45d4036f"/>
    <xsd:import namespace="50ff40a5-f6b4-453b-b26e-450edda0d38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SearchProperties" minOccurs="0"/>
                <xsd:element ref="ns2:MediaServiceDateTaken"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a168cda-de62-4775-83ba-19ff45d4036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7708e94d-1d5b-4a24-abc9-0fd97dbe82dc"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0ff40a5-f6b4-453b-b26e-450edda0d382"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b0a243fe-2805-424b-92e4-716112a53575}" ma:internalName="TaxCatchAll" ma:showField="CatchAllData" ma:web="50ff40a5-f6b4-453b-b26e-450edda0d382">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50ff40a5-f6b4-453b-b26e-450edda0d382" xsi:nil="true"/>
    <SharedWithUsers xmlns="50ff40a5-f6b4-453b-b26e-450edda0d382">
      <UserInfo>
        <DisplayName/>
        <AccountId xsi:nil="true"/>
        <AccountType/>
      </UserInfo>
    </SharedWithUsers>
    <lcf76f155ced4ddcb4097134ff3c332f xmlns="9a168cda-de62-4775-83ba-19ff45d4036f">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56C511B-5D1B-4732-B954-867A6400C3E6}"/>
</file>

<file path=customXml/itemProps2.xml><?xml version="1.0" encoding="utf-8"?>
<ds:datastoreItem xmlns:ds="http://schemas.openxmlformats.org/officeDocument/2006/customXml" ds:itemID="{DF85FBC8-D67B-4ED8-BD36-632998BEB783}"/>
</file>

<file path=customXml/itemProps3.xml><?xml version="1.0" encoding="utf-8"?>
<ds:datastoreItem xmlns:ds="http://schemas.openxmlformats.org/officeDocument/2006/customXml" ds:itemID="{1F51D792-DE91-45F6-9155-A38D75C77D2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START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Manios, Kostas V</dc:creator>
  <cp:lastModifiedBy>Kostas Manios</cp:lastModifiedBy>
  <cp:lastPrinted>2006-07-03T09:50:05Z</cp:lastPrinted>
  <dcterms:created xsi:type="dcterms:W3CDTF">2006-06-07T17:49:05Z</dcterms:created>
  <dcterms:modified xsi:type="dcterms:W3CDTF">2014-02-07T17:28:03Z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0x010100F6E1001DD43CB045BE00020195DB8AFA</vt:lpwstr>
  </property>
  <property fmtid="{D5CDD505-2E9C-101B-9397-08002B2CF9AE}" pid="3" name="MediaServiceImageTags">
    <vt:lpwstr/>
  </property>
  <property fmtid="{D5CDD505-2E9C-101B-9397-08002B2CF9AE}" pid="4" name="Order">
    <vt:r8>4192000</vt:r8>
  </property>
  <property fmtid="{D5CDD505-2E9C-101B-9397-08002B2CF9AE}" pid="5" name="_SourceUrl">
    <vt:lpwstr/>
  </property>
  <property fmtid="{D5CDD505-2E9C-101B-9397-08002B2CF9AE}" pid="6" name="_SharedFileIndex">
    <vt:lpwstr/>
  </property>
  <property fmtid="{D5CDD505-2E9C-101B-9397-08002B2CF9AE}" pid="7" name="ComplianceAssetId">
    <vt:lpwstr/>
  </property>
  <property fmtid="{D5CDD505-2E9C-101B-9397-08002B2CF9AE}" pid="8" name="_ExtendedDescription">
    <vt:lpwstr/>
  </property>
  <property fmtid="{D5CDD505-2E9C-101B-9397-08002B2CF9AE}" pid="9" name="TriggerFlowInfo">
    <vt:lpwstr/>
  </property>
  <property fmtid="{D5CDD505-2E9C-101B-9397-08002B2CF9AE}" pid="10" name="xd_Signature">
    <vt:bool>false</vt:bool>
  </property>
  <property fmtid="{D5CDD505-2E9C-101B-9397-08002B2CF9AE}" pid="11" name="xd_ProgID">
    <vt:lpwstr/>
  </property>
  <property fmtid="{D5CDD505-2E9C-101B-9397-08002B2CF9AE}" pid="12" name="TemplateUrl">
    <vt:lpwstr/>
  </property>
</Properties>
</file>